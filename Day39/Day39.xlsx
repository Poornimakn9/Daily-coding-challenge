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8" sheetId="2" r:id="rId6"/>
    <sheet state="visible" name="Pivot Table 7" sheetId="3" r:id="rId7"/>
    <sheet state="visible" name="Pivot Table 6" sheetId="4" r:id="rId8"/>
    <sheet state="visible" name="Pivot Table 5" sheetId="5" r:id="rId9"/>
    <sheet state="visible" name="Pivot Table 4" sheetId="6" r:id="rId10"/>
    <sheet state="visible" name="Sheet2" sheetId="7" r:id="rId11"/>
    <sheet state="visible" name="Pivot Table 2" sheetId="8" r:id="rId12"/>
    <sheet state="visible" name="Pivot Table 3" sheetId="9" r:id="rId13"/>
    <sheet state="visible" name="Pivot Table 1" sheetId="10" r:id="rId14"/>
    <sheet state="visible" name="Winners" sheetId="11" r:id="rId15"/>
    <sheet state="visible" name="Dashboard" sheetId="12" r:id="rId16"/>
  </sheets>
  <definedNames>
    <definedName hidden="1" localSheetId="0" name="_xlnm._FilterDatabase">Sheet1!$J$1:$J$1000</definedName>
    <definedName hidden="1" localSheetId="7" name="_xlnm._FilterDatabase">'Pivot Table 2'!$B$1:$B$1000</definedName>
    <definedName hidden="1" localSheetId="0" name="Z_E0416543_1C3B_42B9_9CE2_B6C8B24820C9_.wvu.FilterData">Sheet1!$A$1:$J$101</definedName>
    <definedName hidden="1" localSheetId="0" name="Z_E0416543_1C3B_42B9_9CE2_B6C8B24820C9_.wvu.FilterData">Sheet1!$A$1:$J$101</definedName>
    <definedName hidden="1" localSheetId="0" name="Z_E0416543_1C3B_42B9_9CE2_B6C8B24820C9_.wvu.FilterData">Sheet1!$A$1:$J$101</definedName>
  </definedNames>
  <calcPr/>
  <customWorkbookViews>
    <customWorkbookView activeSheetId="0" maximized="1" windowHeight="0" windowWidth="0" guid="{E0416543-1C3B-42B9-9CE2-B6C8B24820C9}" name="Filter 1"/>
  </customWorkbookViews>
  <pivotCaches>
    <pivotCache cacheId="0" r:id="rId17"/>
    <pivotCache cacheId="1" r:id="rId18"/>
    <pivotCache cacheId="2" r:id="rId19"/>
  </pivotCaches>
</workbook>
</file>

<file path=xl/sharedStrings.xml><?xml version="1.0" encoding="utf-8"?>
<sst xmlns="http://schemas.openxmlformats.org/spreadsheetml/2006/main" count="968" uniqueCount="264">
  <si>
    <t>Constituency</t>
  </si>
  <si>
    <t>State</t>
  </si>
  <si>
    <t>Party</t>
  </si>
  <si>
    <t>Candidate</t>
  </si>
  <si>
    <t>Votes</t>
  </si>
  <si>
    <t>Total_Votes</t>
  </si>
  <si>
    <t>Gender</t>
  </si>
  <si>
    <t>Age</t>
  </si>
  <si>
    <t>Vote%</t>
  </si>
  <si>
    <t>Winner</t>
  </si>
  <si>
    <t xml:space="preserve"> </t>
  </si>
  <si>
    <t>Bangalore South</t>
  </si>
  <si>
    <t>Karnataka</t>
  </si>
  <si>
    <t>ABC</t>
  </si>
  <si>
    <t>Ravi Kumar</t>
  </si>
  <si>
    <t>Male</t>
  </si>
  <si>
    <t>XYZ</t>
  </si>
  <si>
    <t>Sneha Reddy</t>
  </si>
  <si>
    <t>Female</t>
  </si>
  <si>
    <t>PQR</t>
  </si>
  <si>
    <t>Amit Shah</t>
  </si>
  <si>
    <t>Arun Bhat</t>
  </si>
  <si>
    <t>Meera Iyer</t>
  </si>
  <si>
    <t>Mysore</t>
  </si>
  <si>
    <t>Kiran Gowda</t>
  </si>
  <si>
    <t>Divya Sharma</t>
  </si>
  <si>
    <t>Rahul Verma</t>
  </si>
  <si>
    <t>Manjunath Rao</t>
  </si>
  <si>
    <t>Pooja Nair</t>
  </si>
  <si>
    <t>Tumkur</t>
  </si>
  <si>
    <t>Suresh Naik</t>
  </si>
  <si>
    <t>Anita Desai</t>
  </si>
  <si>
    <t>Manoj Singh</t>
  </si>
  <si>
    <t>Ramesh Gowda</t>
  </si>
  <si>
    <t>Kavya Shetty</t>
  </si>
  <si>
    <t>Hubli</t>
  </si>
  <si>
    <t>Prakash Patil</t>
  </si>
  <si>
    <t>Nisha Kulkarni</t>
  </si>
  <si>
    <t>Rajeev Nair</t>
  </si>
  <si>
    <t>Santosh Kulkarni</t>
  </si>
  <si>
    <t>Neha Patil</t>
  </si>
  <si>
    <t>Belgaum</t>
  </si>
  <si>
    <t>Deepak Joshi</t>
  </si>
  <si>
    <t>Shreya Patil</t>
  </si>
  <si>
    <t>Ashok Rao</t>
  </si>
  <si>
    <t>Harish Shetty</t>
  </si>
  <si>
    <t>Ritu Sharma</t>
  </si>
  <si>
    <t>Davangere</t>
  </si>
  <si>
    <t>Vinod Kumar</t>
  </si>
  <si>
    <t>Sneha Rao</t>
  </si>
  <si>
    <t>Kiran Singh</t>
  </si>
  <si>
    <t>Praveen Gowda</t>
  </si>
  <si>
    <t>Anjali Nair</t>
  </si>
  <si>
    <t>Mangalore</t>
  </si>
  <si>
    <t>Sunil Shetty</t>
  </si>
  <si>
    <t>Priya Dsouza</t>
  </si>
  <si>
    <t>Joseph Pinto</t>
  </si>
  <si>
    <t>Rakesh Naik</t>
  </si>
  <si>
    <t>Shalini Rao</t>
  </si>
  <si>
    <t>Shimoga</t>
  </si>
  <si>
    <t>Ravi Shankar</t>
  </si>
  <si>
    <t>Kavitha Shetty</t>
  </si>
  <si>
    <t>Manoj Bhat</t>
  </si>
  <si>
    <t>Suresh Rao</t>
  </si>
  <si>
    <t>Divya Naik</t>
  </si>
  <si>
    <t>Bellary</t>
  </si>
  <si>
    <t>Anil Kumar</t>
  </si>
  <si>
    <t>Rashmi Reddy</t>
  </si>
  <si>
    <t>Prakash Singh</t>
  </si>
  <si>
    <t>Girish Naik</t>
  </si>
  <si>
    <t>Megha Sharma</t>
  </si>
  <si>
    <t>Bijapur</t>
  </si>
  <si>
    <t>Santosh Patil</t>
  </si>
  <si>
    <t>Anusha Kulkarni</t>
  </si>
  <si>
    <t>Rajesh Rao</t>
  </si>
  <si>
    <t>Deepak Shetty</t>
  </si>
  <si>
    <t>Neha Nair</t>
  </si>
  <si>
    <t>Raichur</t>
  </si>
  <si>
    <t>Harish Kumar</t>
  </si>
  <si>
    <t>Kavya Reddy</t>
  </si>
  <si>
    <t>Manoj Verma</t>
  </si>
  <si>
    <t>Suresh Singh</t>
  </si>
  <si>
    <t>Pooja Sharma</t>
  </si>
  <si>
    <t>Gulbarga</t>
  </si>
  <si>
    <t>Ravi Naik</t>
  </si>
  <si>
    <t>Anita Reddy</t>
  </si>
  <si>
    <t>Sunil Rao</t>
  </si>
  <si>
    <t>Prakash Kumar</t>
  </si>
  <si>
    <t>Divya Shetty</t>
  </si>
  <si>
    <t>Chitradurga</t>
  </si>
  <si>
    <t>Manjunath</t>
  </si>
  <si>
    <t>Shreya Rao</t>
  </si>
  <si>
    <t>Santosh Gowda</t>
  </si>
  <si>
    <t>Anjali Reddy</t>
  </si>
  <si>
    <t>Udupi</t>
  </si>
  <si>
    <t>Ramesh Shetty</t>
  </si>
  <si>
    <t>Meera Pai</t>
  </si>
  <si>
    <t>Joseph Dsouza</t>
  </si>
  <si>
    <t>Arun Naik</t>
  </si>
  <si>
    <t>Shalini Nair</t>
  </si>
  <si>
    <t>Karwar</t>
  </si>
  <si>
    <t>Vinod Naik</t>
  </si>
  <si>
    <t>Kavitha Rao</t>
  </si>
  <si>
    <t>Rajesh Singh</t>
  </si>
  <si>
    <t>Deepak Bhat</t>
  </si>
  <si>
    <t>Pooja Shetty</t>
  </si>
  <si>
    <t>Hassan</t>
  </si>
  <si>
    <t>Raghavendra Rao</t>
  </si>
  <si>
    <t>Sindhu Reddy</t>
  </si>
  <si>
    <t>Manoj Kumar</t>
  </si>
  <si>
    <t>Pradeep Gowda</t>
  </si>
  <si>
    <t>Ananya Shetty</t>
  </si>
  <si>
    <t>Mandya</t>
  </si>
  <si>
    <t>Suresh Gowda</t>
  </si>
  <si>
    <t>Divya Rao</t>
  </si>
  <si>
    <t>Kavya Nair</t>
  </si>
  <si>
    <t>Kolar</t>
  </si>
  <si>
    <t>Anil Reddy</t>
  </si>
  <si>
    <t>Sneha Sharma</t>
  </si>
  <si>
    <t>Sunil Verma</t>
  </si>
  <si>
    <t>Megha Reddy</t>
  </si>
  <si>
    <t>Chikmagalur</t>
  </si>
  <si>
    <t>Prakash Naik</t>
  </si>
  <si>
    <t>Arun Kumar</t>
  </si>
  <si>
    <t>Santosh Rao</t>
  </si>
  <si>
    <t>Anita Nair</t>
  </si>
  <si>
    <t>Bagalkot</t>
  </si>
  <si>
    <t>Deepak Patil</t>
  </si>
  <si>
    <t>Shreya Kulkarni</t>
  </si>
  <si>
    <t>Ravi Singh</t>
  </si>
  <si>
    <t>Manjunath Bhat</t>
  </si>
  <si>
    <t>Columns</t>
  </si>
  <si>
    <t>Rows</t>
  </si>
  <si>
    <t>Values</t>
  </si>
  <si>
    <t>SUM of Votes</t>
  </si>
  <si>
    <t>Grand Total</t>
  </si>
  <si>
    <t>Is there any gender dominance?</t>
  </si>
  <si>
    <t>Female candidates received slightly more votes.</t>
  </si>
  <si>
    <t/>
  </si>
  <si>
    <t>Bagalkot Total</t>
  </si>
  <si>
    <t>Bangalore South Total</t>
  </si>
  <si>
    <t>Belgaum Total</t>
  </si>
  <si>
    <t>Bellary Total</t>
  </si>
  <si>
    <t>Bijapur Total</t>
  </si>
  <si>
    <t>Chikmagalur Total</t>
  </si>
  <si>
    <t>Chitradurga Total</t>
  </si>
  <si>
    <t>Davangere Total</t>
  </si>
  <si>
    <t>Gulbarga Total</t>
  </si>
  <si>
    <t>Hassan Total</t>
  </si>
  <si>
    <t>Hubli Total</t>
  </si>
  <si>
    <t>Karwar Total</t>
  </si>
  <si>
    <t>Kolar Total</t>
  </si>
  <si>
    <t>Mandya Total</t>
  </si>
  <si>
    <t>Mangalore Total</t>
  </si>
  <si>
    <t>Mysore Total</t>
  </si>
  <si>
    <t>Raichur Total</t>
  </si>
  <si>
    <t>Shimoga Total</t>
  </si>
  <si>
    <t>Tumkur Total</t>
  </si>
  <si>
    <t>Udupi Total</t>
  </si>
  <si>
    <t>Which party won the most constituencies?</t>
  </si>
  <si>
    <t>XYZ party won the most constituencies.</t>
  </si>
  <si>
    <t>Average age of winning candidates</t>
  </si>
  <si>
    <t>Youngest candidate</t>
  </si>
  <si>
    <t>Pooja Sharma age 32</t>
  </si>
  <si>
    <t>Oldest candidate</t>
  </si>
  <si>
    <t>Prakash Patil age 55</t>
  </si>
  <si>
    <t>MAX of Votes</t>
  </si>
  <si>
    <t>Deepak Patil Total</t>
  </si>
  <si>
    <t>Kavitha Rao Total</t>
  </si>
  <si>
    <t>Manjunath Bhat Total</t>
  </si>
  <si>
    <t>Ravi Singh Total</t>
  </si>
  <si>
    <t>Shreya Kulkarni Total</t>
  </si>
  <si>
    <t>Amit Shah Total</t>
  </si>
  <si>
    <t>Arun Bhat Total</t>
  </si>
  <si>
    <t>Meera Iyer Total</t>
  </si>
  <si>
    <t>Ravi Kumar Total</t>
  </si>
  <si>
    <t>Sneha Reddy Total</t>
  </si>
  <si>
    <t>Ashok Rao Total</t>
  </si>
  <si>
    <t>Deepak Joshi Total</t>
  </si>
  <si>
    <t>Harish Shetty Total</t>
  </si>
  <si>
    <t>Ritu Sharma Total</t>
  </si>
  <si>
    <t>Shreya Patil Total</t>
  </si>
  <si>
    <t>Anil Kumar Total</t>
  </si>
  <si>
    <t>Girish Naik Total</t>
  </si>
  <si>
    <t>Megha Sharma Total</t>
  </si>
  <si>
    <t>Prakash Singh Total</t>
  </si>
  <si>
    <t>Rashmi Reddy Total</t>
  </si>
  <si>
    <t>Anusha Kulkarni Total</t>
  </si>
  <si>
    <t>Deepak Shetty Total</t>
  </si>
  <si>
    <t>Neha Nair Total</t>
  </si>
  <si>
    <t>Rajesh Rao Total</t>
  </si>
  <si>
    <t>Santosh Patil Total</t>
  </si>
  <si>
    <t>Anita Nair Total</t>
  </si>
  <si>
    <t>Arun Kumar Total</t>
  </si>
  <si>
    <t>Pooja Shetty Total</t>
  </si>
  <si>
    <t>Prakash Naik Total</t>
  </si>
  <si>
    <t>Santosh Rao Total</t>
  </si>
  <si>
    <t>Anjali Reddy Total</t>
  </si>
  <si>
    <t>Kiran Singh Total</t>
  </si>
  <si>
    <t>Manjunath Total</t>
  </si>
  <si>
    <t>Santosh Gowda Total</t>
  </si>
  <si>
    <t>Shreya Rao Total</t>
  </si>
  <si>
    <t>Anjali Nair Total</t>
  </si>
  <si>
    <t>Praveen Gowda Total</t>
  </si>
  <si>
    <t>Sneha Rao Total</t>
  </si>
  <si>
    <t>Vinod Kumar Total</t>
  </si>
  <si>
    <t>Anita Reddy Total</t>
  </si>
  <si>
    <t>Divya Shetty Total</t>
  </si>
  <si>
    <t>Prakash Kumar Total</t>
  </si>
  <si>
    <t>Ravi Naik Total</t>
  </si>
  <si>
    <t>Sunil Rao Total</t>
  </si>
  <si>
    <t>Ananya Shetty Total</t>
  </si>
  <si>
    <t>Manoj Kumar Total</t>
  </si>
  <si>
    <t>Pradeep Gowda Total</t>
  </si>
  <si>
    <t>Raghavendra Rao Total</t>
  </si>
  <si>
    <t>Sindhu Reddy Total</t>
  </si>
  <si>
    <t>Neha Patil Total</t>
  </si>
  <si>
    <t>Nisha Kulkarni Total</t>
  </si>
  <si>
    <t>Prakash Patil Total</t>
  </si>
  <si>
    <t>Rajeev Nair Total</t>
  </si>
  <si>
    <t>Santosh Kulkarni Total</t>
  </si>
  <si>
    <t>Deepak Bhat Total</t>
  </si>
  <si>
    <t>Rajesh Singh Total</t>
  </si>
  <si>
    <t>Vinod Naik Total</t>
  </si>
  <si>
    <t>Anil Reddy Total</t>
  </si>
  <si>
    <t>Megha Reddy Total</t>
  </si>
  <si>
    <t>Ramesh Gowda Total</t>
  </si>
  <si>
    <t>Sneha Sharma Total</t>
  </si>
  <si>
    <t>Sunil Verma Total</t>
  </si>
  <si>
    <t>Divya Rao Total</t>
  </si>
  <si>
    <t>Harish Kumar Total</t>
  </si>
  <si>
    <t>Kavya Nair Total</t>
  </si>
  <si>
    <t>Suresh Gowda Total</t>
  </si>
  <si>
    <t>Joseph Pinto Total</t>
  </si>
  <si>
    <t>Priya Dsouza Total</t>
  </si>
  <si>
    <t>Rakesh Naik Total</t>
  </si>
  <si>
    <t>Shalini Rao Total</t>
  </si>
  <si>
    <t>Sunil Shetty Total</t>
  </si>
  <si>
    <t>Divya Sharma Total</t>
  </si>
  <si>
    <t>Kiran Gowda Total</t>
  </si>
  <si>
    <t>Manjunath Rao Total</t>
  </si>
  <si>
    <t>Pooja Nair Total</t>
  </si>
  <si>
    <t>Rahul Verma Total</t>
  </si>
  <si>
    <t>Kavya Reddy Total</t>
  </si>
  <si>
    <t>Manoj Verma Total</t>
  </si>
  <si>
    <t>Pooja Sharma Total</t>
  </si>
  <si>
    <t>Suresh Singh Total</t>
  </si>
  <si>
    <t>Divya Naik Total</t>
  </si>
  <si>
    <t>Kavitha Shetty Total</t>
  </si>
  <si>
    <t>Manoj Bhat Total</t>
  </si>
  <si>
    <t>Ravi Shankar Total</t>
  </si>
  <si>
    <t>Suresh Rao Total</t>
  </si>
  <si>
    <t>Anita Desai Total</t>
  </si>
  <si>
    <t>Kavya Shetty Total</t>
  </si>
  <si>
    <t>Manoj Singh Total</t>
  </si>
  <si>
    <t>Suresh Naik Total</t>
  </si>
  <si>
    <t>Arun Naik Total</t>
  </si>
  <si>
    <t>Joseph Dsouza Total</t>
  </si>
  <si>
    <t>Meera Pai Total</t>
  </si>
  <si>
    <t>Ramesh Shetty Total</t>
  </si>
  <si>
    <t>Shalini Nair Total</t>
  </si>
  <si>
    <t>Which party got the highest total votes statewide?</t>
  </si>
  <si>
    <t>XYZ party got the highest total votes</t>
  </si>
  <si>
    <t>SUM of Total_Votes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</si>
</sst>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4">
    <border/>
    <border>
      <left style="thin">
        <color rgb="FFA9D08E"/>
      </left>
      <top style="thin">
        <color rgb="FFA9D08E"/>
      </top>
      <bottom style="thin">
        <color rgb="FFA9D08E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3" fillId="2" fontId="1" numFmtId="2" xfId="0" applyAlignment="1" applyBorder="1" applyFont="1" applyNumberFormat="1">
      <alignment readingOrder="0" shrinkToFit="0" vertical="bottom" wrapText="0"/>
    </xf>
    <xf borderId="0" fillId="0" fontId="2" numFmtId="0" xfId="0" applyFont="1"/>
    <xf borderId="1" fillId="3" fontId="3" numFmtId="0" xfId="0" applyAlignment="1" applyBorder="1" applyFill="1" applyFont="1">
      <alignment readingOrder="0" shrinkToFit="0" vertical="bottom" wrapText="0"/>
    </xf>
    <xf borderId="2" fillId="3" fontId="3" numFmtId="0" xfId="0" applyAlignment="1" applyBorder="1" applyFont="1">
      <alignment readingOrder="0" shrinkToFit="0" vertical="bottom" wrapText="0"/>
    </xf>
    <xf borderId="2" fillId="3" fontId="3" numFmtId="0" xfId="0" applyAlignment="1" applyBorder="1" applyFont="1">
      <alignment horizontal="right" readingOrder="0" shrinkToFit="0" vertical="bottom" wrapText="0"/>
    </xf>
    <xf borderId="3" fillId="3" fontId="3" numFmtId="0" xfId="0" applyAlignment="1" applyBorder="1" applyFont="1">
      <alignment horizontal="right" readingOrder="0" shrinkToFit="0" vertical="bottom" wrapText="0"/>
    </xf>
    <xf borderId="0" fillId="0" fontId="2" numFmtId="2" xfId="0" applyFont="1" applyNumberFormat="1"/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horizontal="right"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3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Party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23611F"/>
              </a:solidFill>
            </c:spPr>
          </c:dPt>
          <c:dPt>
            <c:idx val="79"/>
            <c:spPr>
              <a:solidFill>
                <a:srgbClr val="3C2049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Pt>
            <c:idx val="87"/>
            <c:spPr>
              <a:solidFill>
                <a:srgbClr val="891525"/>
              </a:solidFill>
            </c:spPr>
          </c:dPt>
          <c:dPt>
            <c:idx val="88"/>
            <c:spPr>
              <a:solidFill>
                <a:srgbClr val="FFD22C"/>
              </a:solidFill>
            </c:spPr>
          </c:dPt>
          <c:dPt>
            <c:idx val="89"/>
            <c:spPr>
              <a:solidFill>
                <a:srgbClr val="4FD2B5"/>
              </a:solidFill>
            </c:spPr>
          </c:dPt>
          <c:dPt>
            <c:idx val="90"/>
            <c:spPr>
              <a:solidFill>
                <a:srgbClr val="95AA26"/>
              </a:solidFill>
            </c:spPr>
          </c:dPt>
          <c:dPt>
            <c:idx val="91"/>
            <c:spPr>
              <a:solidFill>
                <a:srgbClr val="4991C2"/>
              </a:solidFill>
            </c:spPr>
          </c:dPt>
          <c:dPt>
            <c:idx val="92"/>
            <c:spPr>
              <a:solidFill>
                <a:srgbClr val="0DEA6E"/>
              </a:solidFill>
            </c:spPr>
          </c:dPt>
          <c:dPt>
            <c:idx val="93"/>
            <c:spPr>
              <a:solidFill>
                <a:srgbClr val="C63059"/>
              </a:solidFill>
            </c:spPr>
          </c:dPt>
          <c:dPt>
            <c:idx val="94"/>
            <c:spPr>
              <a:solidFill>
                <a:srgbClr val="FFFE78"/>
              </a:solidFill>
            </c:spPr>
          </c:dPt>
          <c:dPt>
            <c:idx val="95"/>
            <c:spPr>
              <a:solidFill>
                <a:srgbClr val="87E6C7"/>
              </a:solidFill>
            </c:spPr>
          </c:dPt>
          <c:dPt>
            <c:idx val="96"/>
            <c:spPr>
              <a:solidFill>
                <a:srgbClr val="CDCF29"/>
              </a:solidFill>
            </c:spPr>
          </c:dPt>
          <c:dPt>
            <c:idx val="97"/>
            <c:spPr>
              <a:solidFill>
                <a:srgbClr val="4FC9FF"/>
              </a:solidFill>
            </c:spPr>
          </c:dPt>
          <c:dPt>
            <c:idx val="98"/>
            <c:spPr>
              <a:solidFill>
                <a:srgbClr val="0EFEB9"/>
              </a:solidFill>
            </c:spPr>
          </c:dPt>
          <c:dPt>
            <c:idx val="99"/>
            <c:spPr>
              <a:solidFill>
                <a:srgbClr val="024A8D"/>
              </a:solidFill>
            </c:spPr>
          </c:dPt>
          <c:dPt>
            <c:idx val="100"/>
            <c:spPr>
              <a:solidFill>
                <a:srgbClr val="FF2AC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Sheet1!$G$1:$G$101</c:f>
            </c:strRef>
          </c:cat>
          <c:val>
            <c:numRef>
              <c:f>Sheet1!$E$1:$E$101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Party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23611F"/>
              </a:solidFill>
            </c:spPr>
          </c:dPt>
          <c:dPt>
            <c:idx val="79"/>
            <c:spPr>
              <a:solidFill>
                <a:srgbClr val="3C2049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Pt>
            <c:idx val="87"/>
            <c:spPr>
              <a:solidFill>
                <a:srgbClr val="891525"/>
              </a:solidFill>
            </c:spPr>
          </c:dPt>
          <c:dPt>
            <c:idx val="88"/>
            <c:spPr>
              <a:solidFill>
                <a:srgbClr val="FFD22C"/>
              </a:solidFill>
            </c:spPr>
          </c:dPt>
          <c:dPt>
            <c:idx val="89"/>
            <c:spPr>
              <a:solidFill>
                <a:srgbClr val="4FD2B5"/>
              </a:solidFill>
            </c:spPr>
          </c:dPt>
          <c:dPt>
            <c:idx val="90"/>
            <c:spPr>
              <a:solidFill>
                <a:srgbClr val="95AA26"/>
              </a:solidFill>
            </c:spPr>
          </c:dPt>
          <c:dPt>
            <c:idx val="91"/>
            <c:spPr>
              <a:solidFill>
                <a:srgbClr val="4991C2"/>
              </a:solidFill>
            </c:spPr>
          </c:dPt>
          <c:dPt>
            <c:idx val="92"/>
            <c:spPr>
              <a:solidFill>
                <a:srgbClr val="0DEA6E"/>
              </a:solidFill>
            </c:spPr>
          </c:dPt>
          <c:dPt>
            <c:idx val="93"/>
            <c:spPr>
              <a:solidFill>
                <a:srgbClr val="C63059"/>
              </a:solidFill>
            </c:spPr>
          </c:dPt>
          <c:dPt>
            <c:idx val="94"/>
            <c:spPr>
              <a:solidFill>
                <a:srgbClr val="FFFE78"/>
              </a:solidFill>
            </c:spPr>
          </c:dPt>
          <c:dPt>
            <c:idx val="95"/>
            <c:spPr>
              <a:solidFill>
                <a:srgbClr val="87E6C7"/>
              </a:solidFill>
            </c:spPr>
          </c:dPt>
          <c:dPt>
            <c:idx val="96"/>
            <c:spPr>
              <a:solidFill>
                <a:srgbClr val="CDCF29"/>
              </a:solidFill>
            </c:spPr>
          </c:dPt>
          <c:dPt>
            <c:idx val="97"/>
            <c:spPr>
              <a:solidFill>
                <a:srgbClr val="4FC9FF"/>
              </a:solidFill>
            </c:spPr>
          </c:dPt>
          <c:dPt>
            <c:idx val="98"/>
            <c:spPr>
              <a:solidFill>
                <a:srgbClr val="0EFEB9"/>
              </a:solidFill>
            </c:spPr>
          </c:dPt>
          <c:dPt>
            <c:idx val="99"/>
            <c:spPr>
              <a:solidFill>
                <a:srgbClr val="024A8D"/>
              </a:solidFill>
            </c:spPr>
          </c:dPt>
          <c:dPt>
            <c:idx val="100"/>
            <c:spPr>
              <a:solidFill>
                <a:srgbClr val="FF2AC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Sheet1!$G$1:$G$101</c:f>
            </c:strRef>
          </c:cat>
          <c:val>
            <c:numRef>
              <c:f>Sheet1!$E$1:$E$101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pic>
      <xdr:nvPicPr>
        <xdr:cNvPr id="1917371096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125950" cy="1009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3838575" cy="2362200"/>
    <xdr:pic>
      <xdr:nvPicPr>
        <xdr:cNvPr id="136367035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5</xdr:row>
      <xdr:rowOff>19050</xdr:rowOff>
    </xdr:from>
    <xdr:ext cx="3762375" cy="23241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885825</xdr:colOff>
      <xdr:row>0</xdr:row>
      <xdr:rowOff>0</xdr:rowOff>
    </xdr:from>
    <xdr:ext cx="6858000" cy="485775"/>
    <xdr:sp>
      <xdr:nvSpPr>
        <xdr:cNvPr id="3" name="Shape 3"/>
        <xdr:cNvSpPr/>
      </xdr:nvSpPr>
      <xdr:spPr>
        <a:xfrm>
          <a:off x="-6825" y="156800"/>
          <a:ext cx="6912600" cy="4704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Election Analysis Dashboard 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1" sheet="Sheet1"/>
  </cacheSource>
  <cacheFields>
    <cacheField name="Constituency" numFmtId="0">
      <sharedItems>
        <s v="Bangalore South"/>
        <s v="Mysore"/>
        <s v="Tumkur"/>
        <s v="Hubli"/>
        <s v="Belgaum"/>
        <s v="Davangere"/>
        <s v="Mangalore"/>
        <s v="Shimoga"/>
        <s v="Bellary"/>
        <s v="Bijapur"/>
        <s v="Raichur"/>
        <s v="Gulbarga"/>
        <s v="Chitradurga"/>
        <s v="Udupi"/>
        <s v="Karwar"/>
        <s v="Hassan"/>
        <s v="Mandya"/>
        <s v="Kolar"/>
        <s v="Chikmagalur"/>
        <s v="Bagalkot"/>
      </sharedItems>
    </cacheField>
    <cacheField name="State" numFmtId="0">
      <sharedItems>
        <s v="Karnataka"/>
      </sharedItems>
    </cacheField>
    <cacheField name="Party" numFmtId="0">
      <sharedItems>
        <s v="ABC"/>
        <s v="XYZ"/>
        <s v="PQR"/>
      </sharedItems>
    </cacheField>
    <cacheField name="Candidate" numFmtId="0">
      <sharedItems>
        <s v="Ravi Kumar"/>
        <s v="Sneha Reddy"/>
        <s v="Amit Shah"/>
        <s v="Arun Bhat"/>
        <s v="Meera Iyer"/>
        <s v="Kiran Gowda"/>
        <s v="Divya Sharma"/>
        <s v="Rahul Verma"/>
        <s v="Manjunath Rao"/>
        <s v="Pooja Nair"/>
        <s v="Suresh Naik"/>
        <s v="Anita Desai"/>
        <s v="Manoj Singh"/>
        <s v="Ramesh Gowda"/>
        <s v="Kavya Shetty"/>
        <s v="Prakash Patil"/>
        <s v="Nisha Kulkarni"/>
        <s v="Rajeev Nair"/>
        <s v="Santosh Kulkarni"/>
        <s v="Neha Patil"/>
        <s v="Deepak Joshi"/>
        <s v="Shreya Patil"/>
        <s v="Ashok Rao"/>
        <s v="Harish Shetty"/>
        <s v="Ritu Sharma"/>
        <s v="Vinod Kumar"/>
        <s v="Sneha Rao"/>
        <s v="Kiran Singh"/>
        <s v="Praveen Gowda"/>
        <s v="Anjali Nair"/>
        <s v="Sunil Shetty"/>
        <s v="Priya Dsouza"/>
        <s v="Joseph Pinto"/>
        <s v="Rakesh Naik"/>
        <s v="Shalini Rao"/>
        <s v="Ravi Shankar"/>
        <s v="Kavitha Shetty"/>
        <s v="Manoj Bhat"/>
        <s v="Suresh Rao"/>
        <s v="Divya Naik"/>
        <s v="Anil Kumar"/>
        <s v="Rashmi Reddy"/>
        <s v="Prakash Singh"/>
        <s v="Girish Naik"/>
        <s v="Megha Sharma"/>
        <s v="Santosh Patil"/>
        <s v="Anusha Kulkarni"/>
        <s v="Rajesh Rao"/>
        <s v="Deepak Shetty"/>
        <s v="Neha Nair"/>
        <s v="Harish Kumar"/>
        <s v="Kavya Reddy"/>
        <s v="Manoj Verma"/>
        <s v="Suresh Singh"/>
        <s v="Pooja Sharma"/>
        <s v="Ravi Naik"/>
        <s v="Anita Reddy"/>
        <s v="Sunil Rao"/>
        <s v="Prakash Kumar"/>
        <s v="Divya Shetty"/>
        <s v="Manjunath"/>
        <s v="Shreya Rao"/>
        <s v="Santosh Gowda"/>
        <s v="Anjali Reddy"/>
        <s v="Ramesh Shetty"/>
        <s v="Meera Pai"/>
        <s v="Joseph Dsouza"/>
        <s v="Arun Naik"/>
        <s v="Shalini Nair"/>
        <s v="Vinod Naik"/>
        <s v="Kavitha Rao"/>
        <s v="Rajesh Singh"/>
        <s v="Deepak Bhat"/>
        <s v="Pooja Shetty"/>
        <s v="Raghavendra Rao"/>
        <s v="Sindhu Reddy"/>
        <s v="Manoj Kumar"/>
        <s v="Pradeep Gowda"/>
        <s v="Ananya Shetty"/>
        <s v="Suresh Gowda"/>
        <s v="Divya Rao"/>
        <s v="Kavya Nair"/>
        <s v="Anil Reddy"/>
        <s v="Sneha Sharma"/>
        <s v="Sunil Verma"/>
        <s v="Megha Reddy"/>
        <s v="Prakash Naik"/>
        <s v="Arun Kumar"/>
        <s v="Santosh Rao"/>
        <s v="Anita Nair"/>
        <s v="Deepak Patil"/>
        <s v="Shreya Kulkarni"/>
        <s v="Ravi Singh"/>
        <s v="Manjunath Bhat"/>
      </sharedItems>
    </cacheField>
    <cacheField name="Votes" numFmtId="0">
      <sharedItems containsSemiMixedTypes="0" containsString="0" containsNumber="1" containsInteger="1">
        <n v="45231.0"/>
        <n v="50321.0"/>
        <n v="18448.0"/>
        <n v="40211.0"/>
        <n v="51234.0"/>
        <n v="62341.0"/>
        <n v="54321.0"/>
        <n v="33211.0"/>
        <n v="60234.0"/>
        <n v="55120.0"/>
        <n v="41234.0"/>
        <n v="45210.0"/>
        <n v="23556.0"/>
        <n v="39876.0"/>
        <n v="46211.0"/>
        <n v="71234.0"/>
        <n v="65432.0"/>
        <n v="43334.0"/>
        <n v="70211.0"/>
        <n v="66123.0"/>
        <n v="52341.0"/>
        <n v="56321.0"/>
        <n v="30112.0"/>
        <n v="49876.0"/>
        <n v="57210.0"/>
        <n v="48321.0"/>
        <n v="28900.0"/>
        <n v="47210.0"/>
        <n v="52110.0"/>
        <n v="60321.0"/>
        <n v="62345.0"/>
        <n v="32100.0"/>
        <n v="59234.0"/>
        <n v="63100.0"/>
        <n v="48210.0"/>
        <n v="50123.0"/>
        <n v="26789.0"/>
        <n v="47123.0"/>
        <n v="51200.0"/>
        <n v="53321.0"/>
        <n v="56234.0"/>
        <n v="31234.0"/>
        <n v="52100.0"/>
        <n v="57321.0"/>
        <n v="44210.0"/>
        <n v="47234.0"/>
        <n v="25678.0"/>
        <n v="43100.0"/>
        <n v="48200.0"/>
        <n v="41200.0"/>
        <n v="22100.0"/>
        <n v="39800.0"/>
        <n v="50210.0"/>
        <n v="53210.0"/>
        <n v="49100.0"/>
        <n v="54100.0"/>
        <n v="43210.0"/>
        <n v="46210.0"/>
        <n v="24500.0"/>
        <n v="42100.0"/>
        <n v="47200.0"/>
        <n v="54200.0"/>
        <n v="27800.0"/>
        <n v="50100.0"/>
        <n v="55200.0"/>
        <n v="39200.0"/>
        <n v="42200.0"/>
        <n v="21000.0"/>
        <n v="38100.0"/>
        <n v="43200.0"/>
        <n v="54210.0"/>
        <n v="27890.0"/>
        <n v="50120.0"/>
        <n v="55230.0"/>
        <n v="62310.0"/>
        <n v="65120.0"/>
        <n v="33210.0"/>
        <n v="61200.0"/>
        <n v="66210.0"/>
        <n v="48234.0"/>
        <n v="25100.0"/>
        <n v="44120.0"/>
        <n v="49210.0"/>
        <n v="56230.0"/>
        <n v="30120.0"/>
        <n v="43120.0"/>
        <n v="24560.0"/>
      </sharedItems>
    </cacheField>
    <cacheField name="Total_Votes" numFmtId="0">
      <sharedItems containsSemiMixedTypes="0" containsString="0" containsNumber="1" containsInteger="1">
        <n v="120000.0"/>
        <n v="150000.0"/>
        <n v="110000.0"/>
        <n v="180000.0"/>
        <n v="140000.0"/>
        <n v="130000.0"/>
        <n v="160000.0"/>
        <n v="125000.0"/>
        <n v="145000.0"/>
        <n v="115000.0"/>
        <n v="105000.0"/>
        <n v="135000.0"/>
        <n v="100000.0"/>
        <n v="155000.0"/>
      </sharedItems>
    </cacheField>
    <cacheField name="Gender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45.0"/>
        <n v="38.0"/>
        <n v="52.0"/>
        <n v="44.0"/>
        <n v="36.0"/>
        <n v="41.0"/>
        <n v="48.0"/>
        <n v="46.0"/>
        <n v="34.0"/>
        <n v="50.0"/>
        <n v="39.0"/>
        <n v="47.0"/>
        <n v="35.0"/>
        <n v="55.0"/>
        <n v="42.0"/>
        <n v="53.0"/>
        <n v="40.0"/>
        <n v="49.0"/>
        <n v="37.0"/>
        <n v="51.0"/>
        <n v="33.0"/>
        <n v="32.0"/>
      </sharedItems>
    </cacheField>
    <cacheField name="Vote%" numFmtId="2">
      <sharedItems containsSemiMixedTypes="0" containsString="0" containsNumber="1">
        <n v="37.6925"/>
        <n v="41.93416666666667"/>
        <n v="15.373333333333333"/>
        <n v="33.509166666666665"/>
        <n v="42.695"/>
        <n v="41.56066666666667"/>
        <n v="36.214"/>
        <n v="22.140666666666668"/>
        <n v="40.156"/>
        <n v="36.74666666666667"/>
        <n v="37.485454545454544"/>
        <n v="41.099999999999994"/>
        <n v="21.414545454545454"/>
        <n v="36.25090909090909"/>
        <n v="42.01"/>
        <n v="39.574444444444445"/>
        <n v="36.35111111111111"/>
        <n v="24.074444444444445"/>
        <n v="39.00611111111111"/>
        <n v="36.735"/>
        <n v="37.38642857142857"/>
        <n v="40.22928571428571"/>
        <n v="21.50857142857143"/>
        <n v="35.62571428571429"/>
        <n v="40.864285714285714"/>
        <n v="37.169999999999995"/>
        <n v="39.41076923076923"/>
        <n v="22.230769230769234"/>
        <n v="36.315384615384616"/>
        <n v="40.08461538461538"/>
        <n v="37.700625"/>
        <n v="38.965624999999996"/>
        <n v="20.0625"/>
        <n v="37.02125"/>
        <n v="39.4375"/>
        <n v="38.568000000000005"/>
        <n v="40.0984"/>
        <n v="21.4312"/>
        <n v="37.6984"/>
        <n v="40.96"/>
        <n v="36.77310344827586"/>
        <n v="38.78206896551724"/>
        <n v="21.54068965517241"/>
        <n v="35.93103448275862"/>
        <n v="39.531724137931036"/>
        <n v="38.44347826086957"/>
        <n v="41.07304347826087"/>
        <n v="22.328695652173913"/>
        <n v="37.47826086956522"/>
        <n v="41.91304347826087"/>
        <n v="39.23809523809524"/>
        <n v="42.10476190476191"/>
        <n v="21.047619047619047"/>
        <n v="37.904761904761905"/>
        <n v="43.05714285714286"/>
        <n v="37.1925925925926"/>
        <n v="39.41481481481481"/>
        <n v="21.40740740740741"/>
        <n v="36.37037037037037"/>
        <n v="40.074074074074076"/>
        <n v="36.00833333333333"/>
        <n v="38.50833333333333"/>
        <n v="20.416666666666668"/>
        <n v="35.083333333333336"/>
        <n v="39.33333333333333"/>
        <n v="36.57142857142857"/>
        <n v="38.714285714285715"/>
        <n v="19.857142857142858"/>
        <n v="35.785714285714285"/>
        <n v="39.42857142857143"/>
        <n v="39.2"/>
        <n v="42.199999999999996"/>
        <n v="21.0"/>
        <n v="38.1"/>
        <n v="43.2"/>
        <n v="36.59571428571429"/>
        <n v="38.721428571428575"/>
        <n v="19.92142857142857"/>
        <n v="35.8"/>
        <n v="39.45"/>
        <n v="40.2"/>
        <n v="42.012903225806454"/>
        <n v="21.425806451612903"/>
        <n v="39.483870967741936"/>
        <n v="42.71612903225807"/>
        <n v="37.675"/>
        <n v="40.195"/>
        <n v="20.916666666666668"/>
        <n v="36.766666666666666"/>
        <n v="41.00833333333333"/>
        <n v="36.69655172413793"/>
        <n v="38.779310344827586"/>
        <n v="20.772413793103446"/>
        <n v="39.45517241379311"/>
        <n v="37.495652173913044"/>
        <n v="40.18260869565217"/>
        <n v="21.356521739130436"/>
        <n v="36.608695652173914"/>
        <n v="41.04347826086956"/>
      </sharedItems>
    </cacheField>
    <cacheField name="Winner" numFmtId="0">
      <sharedItems>
        <s v=""/>
        <s v="Winner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01" sheet="Sheet1"/>
  </cacheSource>
  <cacheFields>
    <cacheField name="Constituency" numFmtId="0">
      <sharedItems>
        <s v="Bangalore South"/>
        <s v="Mysore"/>
        <s v="Tumkur"/>
        <s v="Hubli"/>
        <s v="Belgaum"/>
        <s v="Davangere"/>
        <s v="Mangalore"/>
        <s v="Shimoga"/>
        <s v="Bellary"/>
        <s v="Bijapur"/>
        <s v="Raichur"/>
        <s v="Gulbarga"/>
        <s v="Chitradurga"/>
        <s v="Udupi"/>
        <s v="Karwar"/>
        <s v="Hassan"/>
        <s v="Mandya"/>
        <s v="Kolar"/>
        <s v="Chikmagalur"/>
        <s v="Bagalkot"/>
      </sharedItems>
    </cacheField>
    <cacheField name="State" numFmtId="0">
      <sharedItems>
        <s v="Karnataka"/>
      </sharedItems>
    </cacheField>
    <cacheField name="Party" numFmtId="0">
      <sharedItems>
        <s v="ABC"/>
        <s v="XYZ"/>
        <s v="PQR"/>
      </sharedItems>
    </cacheField>
    <cacheField name="Candidate" numFmtId="0">
      <sharedItems>
        <s v="Ravi Kumar"/>
        <s v="Sneha Reddy"/>
        <s v="Amit Shah"/>
        <s v="Arun Bhat"/>
        <s v="Meera Iyer"/>
        <s v="Kiran Gowda"/>
        <s v="Divya Sharma"/>
        <s v="Rahul Verma"/>
        <s v="Manjunath Rao"/>
        <s v="Pooja Nair"/>
        <s v="Suresh Naik"/>
        <s v="Anita Desai"/>
        <s v="Manoj Singh"/>
        <s v="Ramesh Gowda"/>
        <s v="Kavya Shetty"/>
        <s v="Prakash Patil"/>
        <s v="Nisha Kulkarni"/>
        <s v="Rajeev Nair"/>
        <s v="Santosh Kulkarni"/>
        <s v="Neha Patil"/>
        <s v="Deepak Joshi"/>
        <s v="Shreya Patil"/>
        <s v="Ashok Rao"/>
        <s v="Harish Shetty"/>
        <s v="Ritu Sharma"/>
        <s v="Vinod Kumar"/>
        <s v="Sneha Rao"/>
        <s v="Kiran Singh"/>
        <s v="Praveen Gowda"/>
        <s v="Anjali Nair"/>
        <s v="Sunil Shetty"/>
        <s v="Priya Dsouza"/>
        <s v="Joseph Pinto"/>
        <s v="Rakesh Naik"/>
        <s v="Shalini Rao"/>
        <s v="Ravi Shankar"/>
        <s v="Kavitha Shetty"/>
        <s v="Manoj Bhat"/>
        <s v="Suresh Rao"/>
        <s v="Divya Naik"/>
        <s v="Anil Kumar"/>
        <s v="Rashmi Reddy"/>
        <s v="Prakash Singh"/>
        <s v="Girish Naik"/>
        <s v="Megha Sharma"/>
        <s v="Santosh Patil"/>
        <s v="Anusha Kulkarni"/>
        <s v="Rajesh Rao"/>
        <s v="Deepak Shetty"/>
        <s v="Neha Nair"/>
        <s v="Harish Kumar"/>
        <s v="Kavya Reddy"/>
        <s v="Manoj Verma"/>
        <s v="Suresh Singh"/>
        <s v="Pooja Sharma"/>
        <s v="Ravi Naik"/>
        <s v="Anita Reddy"/>
        <s v="Sunil Rao"/>
        <s v="Prakash Kumar"/>
        <s v="Divya Shetty"/>
        <s v="Manjunath"/>
        <s v="Shreya Rao"/>
        <s v="Santosh Gowda"/>
        <s v="Anjali Reddy"/>
        <s v="Ramesh Shetty"/>
        <s v="Meera Pai"/>
        <s v="Joseph Dsouza"/>
        <s v="Arun Naik"/>
        <s v="Shalini Nair"/>
        <s v="Vinod Naik"/>
        <s v="Kavitha Rao"/>
        <s v="Rajesh Singh"/>
        <s v="Deepak Bhat"/>
        <s v="Pooja Shetty"/>
        <s v="Raghavendra Rao"/>
        <s v="Sindhu Reddy"/>
        <s v="Manoj Kumar"/>
        <s v="Pradeep Gowda"/>
        <s v="Ananya Shetty"/>
        <s v="Suresh Gowda"/>
        <s v="Divya Rao"/>
        <s v="Kavya Nair"/>
        <s v="Anil Reddy"/>
        <s v="Sneha Sharma"/>
        <s v="Sunil Verma"/>
        <s v="Megha Reddy"/>
        <s v="Prakash Naik"/>
        <s v="Arun Kumar"/>
        <s v="Santosh Rao"/>
        <s v="Anita Nair"/>
        <s v="Deepak Patil"/>
        <s v="Shreya Kulkarni"/>
        <s v="Ravi Singh"/>
        <s v="Manjunath Bhat"/>
      </sharedItems>
    </cacheField>
    <cacheField name="Votes" numFmtId="0">
      <sharedItems containsSemiMixedTypes="0" containsString="0" containsNumber="1" containsInteger="1">
        <n v="45231.0"/>
        <n v="50321.0"/>
        <n v="18448.0"/>
        <n v="40211.0"/>
        <n v="51234.0"/>
        <n v="62341.0"/>
        <n v="54321.0"/>
        <n v="33211.0"/>
        <n v="60234.0"/>
        <n v="55120.0"/>
        <n v="41234.0"/>
        <n v="45210.0"/>
        <n v="23556.0"/>
        <n v="39876.0"/>
        <n v="46211.0"/>
        <n v="71234.0"/>
        <n v="65432.0"/>
        <n v="43334.0"/>
        <n v="70211.0"/>
        <n v="66123.0"/>
        <n v="52341.0"/>
        <n v="56321.0"/>
        <n v="30112.0"/>
        <n v="49876.0"/>
        <n v="57210.0"/>
        <n v="48321.0"/>
        <n v="28900.0"/>
        <n v="47210.0"/>
        <n v="52110.0"/>
        <n v="60321.0"/>
        <n v="62345.0"/>
        <n v="32100.0"/>
        <n v="59234.0"/>
        <n v="63100.0"/>
        <n v="48210.0"/>
        <n v="50123.0"/>
        <n v="26789.0"/>
        <n v="47123.0"/>
        <n v="51200.0"/>
        <n v="53321.0"/>
        <n v="56234.0"/>
        <n v="31234.0"/>
        <n v="52100.0"/>
        <n v="57321.0"/>
        <n v="44210.0"/>
        <n v="47234.0"/>
        <n v="25678.0"/>
        <n v="43100.0"/>
        <n v="48200.0"/>
        <n v="41200.0"/>
        <n v="22100.0"/>
        <n v="39800.0"/>
        <n v="50210.0"/>
        <n v="53210.0"/>
        <n v="49100.0"/>
        <n v="54100.0"/>
        <n v="43210.0"/>
        <n v="46210.0"/>
        <n v="24500.0"/>
        <n v="42100.0"/>
        <n v="47200.0"/>
        <n v="54200.0"/>
        <n v="27800.0"/>
        <n v="50100.0"/>
        <n v="55200.0"/>
        <n v="39200.0"/>
        <n v="42200.0"/>
        <n v="21000.0"/>
        <n v="38100.0"/>
        <n v="43200.0"/>
        <n v="54210.0"/>
        <n v="27890.0"/>
        <n v="50120.0"/>
        <n v="55230.0"/>
        <n v="62310.0"/>
        <n v="65120.0"/>
        <n v="33210.0"/>
        <n v="61200.0"/>
        <n v="66210.0"/>
        <n v="48234.0"/>
        <n v="25100.0"/>
        <n v="44120.0"/>
        <n v="49210.0"/>
        <n v="56230.0"/>
        <n v="30120.0"/>
        <n v="43120.0"/>
        <n v="24560.0"/>
      </sharedItems>
    </cacheField>
    <cacheField name="Total_Votes" numFmtId="0">
      <sharedItems containsSemiMixedTypes="0" containsString="0" containsNumber="1" containsInteger="1">
        <n v="120000.0"/>
        <n v="150000.0"/>
        <n v="110000.0"/>
        <n v="180000.0"/>
        <n v="140000.0"/>
        <n v="130000.0"/>
        <n v="160000.0"/>
        <n v="125000.0"/>
        <n v="145000.0"/>
        <n v="115000.0"/>
        <n v="105000.0"/>
        <n v="135000.0"/>
        <n v="100000.0"/>
        <n v="155000.0"/>
      </sharedItems>
    </cacheField>
    <cacheField name="Gender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45.0"/>
        <n v="38.0"/>
        <n v="52.0"/>
        <n v="44.0"/>
        <n v="36.0"/>
        <n v="41.0"/>
        <n v="48.0"/>
        <n v="46.0"/>
        <n v="34.0"/>
        <n v="50.0"/>
        <n v="39.0"/>
        <n v="47.0"/>
        <n v="35.0"/>
        <n v="55.0"/>
        <n v="42.0"/>
        <n v="53.0"/>
        <n v="40.0"/>
        <n v="49.0"/>
        <n v="37.0"/>
        <n v="51.0"/>
        <n v="33.0"/>
        <n v="32.0"/>
      </sharedItems>
    </cacheField>
    <cacheField name="Vote%" numFmtId="2">
      <sharedItems containsSemiMixedTypes="0" containsString="0" containsNumber="1">
        <n v="37.6925"/>
        <n v="41.93416666666667"/>
        <n v="15.373333333333333"/>
        <n v="33.509166666666665"/>
        <n v="42.695"/>
        <n v="41.56066666666667"/>
        <n v="36.214"/>
        <n v="22.140666666666668"/>
        <n v="40.156"/>
        <n v="36.74666666666667"/>
        <n v="37.485454545454544"/>
        <n v="41.099999999999994"/>
        <n v="21.414545454545454"/>
        <n v="36.25090909090909"/>
        <n v="42.01"/>
        <n v="39.574444444444445"/>
        <n v="36.35111111111111"/>
        <n v="24.074444444444445"/>
        <n v="39.00611111111111"/>
        <n v="36.735"/>
        <n v="37.38642857142857"/>
        <n v="40.22928571428571"/>
        <n v="21.50857142857143"/>
        <n v="35.62571428571429"/>
        <n v="40.864285714285714"/>
        <n v="37.169999999999995"/>
        <n v="39.41076923076923"/>
        <n v="22.230769230769234"/>
        <n v="36.315384615384616"/>
        <n v="40.08461538461538"/>
        <n v="37.700625"/>
        <n v="38.965624999999996"/>
        <n v="20.0625"/>
        <n v="37.02125"/>
        <n v="39.4375"/>
        <n v="38.568000000000005"/>
        <n v="40.0984"/>
        <n v="21.4312"/>
        <n v="37.6984"/>
        <n v="40.96"/>
        <n v="36.77310344827586"/>
        <n v="38.78206896551724"/>
        <n v="21.54068965517241"/>
        <n v="35.93103448275862"/>
        <n v="39.531724137931036"/>
        <n v="38.44347826086957"/>
        <n v="41.07304347826087"/>
        <n v="22.328695652173913"/>
        <n v="37.47826086956522"/>
        <n v="41.91304347826087"/>
        <n v="39.23809523809524"/>
        <n v="42.10476190476191"/>
        <n v="21.047619047619047"/>
        <n v="37.904761904761905"/>
        <n v="43.05714285714286"/>
        <n v="37.1925925925926"/>
        <n v="39.41481481481481"/>
        <n v="21.40740740740741"/>
        <n v="36.37037037037037"/>
        <n v="40.074074074074076"/>
        <n v="36.00833333333333"/>
        <n v="38.50833333333333"/>
        <n v="20.416666666666668"/>
        <n v="35.083333333333336"/>
        <n v="39.33333333333333"/>
        <n v="36.57142857142857"/>
        <n v="38.714285714285715"/>
        <n v="19.857142857142858"/>
        <n v="35.785714285714285"/>
        <n v="39.42857142857143"/>
        <n v="39.2"/>
        <n v="42.199999999999996"/>
        <n v="21.0"/>
        <n v="38.1"/>
        <n v="43.2"/>
        <n v="36.59571428571429"/>
        <n v="38.721428571428575"/>
        <n v="19.92142857142857"/>
        <n v="35.8"/>
        <n v="39.45"/>
        <n v="40.2"/>
        <n v="42.012903225806454"/>
        <n v="21.425806451612903"/>
        <n v="39.483870967741936"/>
        <n v="42.71612903225807"/>
        <n v="37.675"/>
        <n v="40.195"/>
        <n v="20.916666666666668"/>
        <n v="36.766666666666666"/>
        <n v="41.00833333333333"/>
        <n v="36.69655172413793"/>
        <n v="38.779310344827586"/>
        <n v="20.772413793103446"/>
        <n v="39.45517241379311"/>
        <n v="37.495652173913044"/>
        <n v="40.18260869565217"/>
        <n v="21.356521739130436"/>
        <n v="36.608695652173914"/>
        <n v="41.04347826086956"/>
      </sharedItems>
    </cacheField>
    <cacheField name="Winner" numFmtId="0">
      <sharedItems>
        <s v=""/>
        <s v="Winner"/>
      </sharedItems>
    </cacheField>
    <cacheField name=" ">
      <sharedItems containsBlank="1" containsMixedTypes="1" containsNumber="1">
        <s v=""/>
        <s v="Winner"/>
        <n v="43.125"/>
        <n v="32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1" sheet="Sheet1"/>
  </cacheSource>
  <cacheFields>
    <cacheField name="Constituency" numFmtId="0">
      <sharedItems>
        <s v="Bangalore South"/>
        <s v="Mysore"/>
        <s v="Tumkur"/>
        <s v="Hubli"/>
        <s v="Belgaum"/>
        <s v="Davangere"/>
        <s v="Mangalore"/>
        <s v="Shimoga"/>
        <s v="Bellary"/>
        <s v="Bijapur"/>
        <s v="Raichur"/>
        <s v="Gulbarga"/>
        <s v="Chitradurga"/>
        <s v="Udupi"/>
        <s v="Karwar"/>
        <s v="Hassan"/>
        <s v="Mandya"/>
        <s v="Kolar"/>
        <s v="Chikmagalur"/>
        <s v="Bagalkot"/>
      </sharedItems>
    </cacheField>
    <cacheField name="State" numFmtId="0">
      <sharedItems>
        <s v="Karnataka"/>
      </sharedItems>
    </cacheField>
    <cacheField name="Party" numFmtId="0">
      <sharedItems>
        <s v="ABC"/>
        <s v="XYZ"/>
        <s v="PQR"/>
      </sharedItems>
    </cacheField>
    <cacheField name="Candidate" numFmtId="0">
      <sharedItems>
        <s v="Ravi Kumar"/>
        <s v="Sneha Reddy"/>
        <s v="Amit Shah"/>
        <s v="Arun Bhat"/>
        <s v="Meera Iyer"/>
        <s v="Kiran Gowda"/>
        <s v="Divya Sharma"/>
        <s v="Rahul Verma"/>
        <s v="Manjunath Rao"/>
        <s v="Pooja Nair"/>
        <s v="Suresh Naik"/>
        <s v="Anita Desai"/>
        <s v="Manoj Singh"/>
        <s v="Ramesh Gowda"/>
        <s v="Kavya Shetty"/>
        <s v="Prakash Patil"/>
        <s v="Nisha Kulkarni"/>
        <s v="Rajeev Nair"/>
        <s v="Santosh Kulkarni"/>
        <s v="Neha Patil"/>
        <s v="Deepak Joshi"/>
        <s v="Shreya Patil"/>
        <s v="Ashok Rao"/>
        <s v="Harish Shetty"/>
        <s v="Ritu Sharma"/>
        <s v="Vinod Kumar"/>
        <s v="Sneha Rao"/>
        <s v="Kiran Singh"/>
        <s v="Praveen Gowda"/>
        <s v="Anjali Nair"/>
        <s v="Sunil Shetty"/>
        <s v="Priya Dsouza"/>
        <s v="Joseph Pinto"/>
        <s v="Rakesh Naik"/>
        <s v="Shalini Rao"/>
        <s v="Ravi Shankar"/>
        <s v="Kavitha Shetty"/>
        <s v="Manoj Bhat"/>
        <s v="Suresh Rao"/>
        <s v="Divya Naik"/>
        <s v="Anil Kumar"/>
        <s v="Rashmi Reddy"/>
        <s v="Prakash Singh"/>
        <s v="Girish Naik"/>
        <s v="Megha Sharma"/>
        <s v="Santosh Patil"/>
        <s v="Anusha Kulkarni"/>
        <s v="Rajesh Rao"/>
        <s v="Deepak Shetty"/>
        <s v="Neha Nair"/>
        <s v="Harish Kumar"/>
        <s v="Kavya Reddy"/>
        <s v="Manoj Verma"/>
        <s v="Suresh Singh"/>
        <s v="Pooja Sharma"/>
        <s v="Ravi Naik"/>
        <s v="Anita Reddy"/>
        <s v="Sunil Rao"/>
        <s v="Prakash Kumar"/>
        <s v="Divya Shetty"/>
        <s v="Manjunath"/>
        <s v="Shreya Rao"/>
        <s v="Santosh Gowda"/>
        <s v="Anjali Reddy"/>
        <s v="Ramesh Shetty"/>
        <s v="Meera Pai"/>
        <s v="Joseph Dsouza"/>
        <s v="Arun Naik"/>
        <s v="Shalini Nair"/>
        <s v="Vinod Naik"/>
        <s v="Kavitha Rao"/>
        <s v="Rajesh Singh"/>
        <s v="Deepak Bhat"/>
        <s v="Pooja Shetty"/>
        <s v="Raghavendra Rao"/>
        <s v="Sindhu Reddy"/>
        <s v="Manoj Kumar"/>
        <s v="Pradeep Gowda"/>
        <s v="Ananya Shetty"/>
        <s v="Suresh Gowda"/>
        <s v="Divya Rao"/>
        <s v="Kavya Nair"/>
        <s v="Anil Reddy"/>
        <s v="Sneha Sharma"/>
        <s v="Sunil Verma"/>
        <s v="Megha Reddy"/>
        <s v="Prakash Naik"/>
        <s v="Arun Kumar"/>
        <s v="Santosh Rao"/>
        <s v="Anita Nair"/>
        <s v="Deepak Patil"/>
        <s v="Shreya Kulkarni"/>
        <s v="Ravi Singh"/>
        <s v="Manjunath Bhat"/>
      </sharedItems>
    </cacheField>
    <cacheField name="Votes" numFmtId="0">
      <sharedItems containsSemiMixedTypes="0" containsString="0" containsNumber="1" containsInteger="1">
        <n v="45231.0"/>
        <n v="50321.0"/>
        <n v="18448.0"/>
        <n v="40211.0"/>
        <n v="51234.0"/>
        <n v="62341.0"/>
        <n v="54321.0"/>
        <n v="33211.0"/>
        <n v="60234.0"/>
        <n v="55120.0"/>
        <n v="41234.0"/>
        <n v="45210.0"/>
        <n v="23556.0"/>
        <n v="39876.0"/>
        <n v="46211.0"/>
        <n v="71234.0"/>
        <n v="65432.0"/>
        <n v="43334.0"/>
        <n v="70211.0"/>
        <n v="66123.0"/>
        <n v="52341.0"/>
        <n v="56321.0"/>
        <n v="30112.0"/>
        <n v="49876.0"/>
        <n v="57210.0"/>
        <n v="48321.0"/>
        <n v="28900.0"/>
        <n v="47210.0"/>
        <n v="52110.0"/>
        <n v="60321.0"/>
        <n v="62345.0"/>
        <n v="32100.0"/>
        <n v="59234.0"/>
        <n v="63100.0"/>
        <n v="48210.0"/>
        <n v="50123.0"/>
        <n v="26789.0"/>
        <n v="47123.0"/>
        <n v="51200.0"/>
        <n v="53321.0"/>
        <n v="56234.0"/>
        <n v="31234.0"/>
        <n v="52100.0"/>
        <n v="57321.0"/>
        <n v="44210.0"/>
        <n v="47234.0"/>
        <n v="25678.0"/>
        <n v="43100.0"/>
        <n v="48200.0"/>
        <n v="41200.0"/>
        <n v="22100.0"/>
        <n v="39800.0"/>
        <n v="50210.0"/>
        <n v="53210.0"/>
        <n v="49100.0"/>
        <n v="54100.0"/>
        <n v="43210.0"/>
        <n v="46210.0"/>
        <n v="24500.0"/>
        <n v="42100.0"/>
        <n v="47200.0"/>
        <n v="54200.0"/>
        <n v="27800.0"/>
        <n v="50100.0"/>
        <n v="55200.0"/>
        <n v="39200.0"/>
        <n v="42200.0"/>
        <n v="21000.0"/>
        <n v="38100.0"/>
        <n v="43200.0"/>
        <n v="54210.0"/>
        <n v="27890.0"/>
        <n v="50120.0"/>
        <n v="55230.0"/>
        <n v="62310.0"/>
        <n v="65120.0"/>
        <n v="33210.0"/>
        <n v="61200.0"/>
        <n v="66210.0"/>
        <n v="48234.0"/>
        <n v="25100.0"/>
        <n v="44120.0"/>
        <n v="49210.0"/>
        <n v="56230.0"/>
        <n v="30120.0"/>
        <n v="43120.0"/>
        <n v="24560.0"/>
      </sharedItems>
    </cacheField>
    <cacheField name="Total_Votes" numFmtId="0">
      <sharedItems containsSemiMixedTypes="0" containsString="0" containsNumber="1" containsInteger="1">
        <n v="120000.0"/>
        <n v="150000.0"/>
        <n v="110000.0"/>
        <n v="180000.0"/>
        <n v="140000.0"/>
        <n v="130000.0"/>
        <n v="160000.0"/>
        <n v="125000.0"/>
        <n v="145000.0"/>
        <n v="115000.0"/>
        <n v="105000.0"/>
        <n v="135000.0"/>
        <n v="100000.0"/>
        <n v="155000.0"/>
      </sharedItems>
    </cacheField>
    <cacheField name="Gender" numFmtId="0">
      <sharedItems>
        <s v="Male"/>
        <s v="Female"/>
      </sharedItems>
    </cacheField>
    <cacheField name="Age" numFmtId="0">
      <sharedItems containsSemiMixedTypes="0" containsString="0" containsNumber="1" containsInteger="1">
        <n v="45.0"/>
        <n v="38.0"/>
        <n v="52.0"/>
        <n v="44.0"/>
        <n v="36.0"/>
        <n v="41.0"/>
        <n v="48.0"/>
        <n v="46.0"/>
        <n v="34.0"/>
        <n v="50.0"/>
        <n v="39.0"/>
        <n v="47.0"/>
        <n v="35.0"/>
        <n v="55.0"/>
        <n v="42.0"/>
        <n v="53.0"/>
        <n v="40.0"/>
        <n v="49.0"/>
        <n v="37.0"/>
        <n v="51.0"/>
        <n v="33.0"/>
        <n v="3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8" cacheId="0" dataCaption="" compact="0" compactData="0">
  <location ref="A1:E10" firstHeaderRow="0" firstDataRow="0" firstDataCol="0"/>
  <pivotFields>
    <pivotField name="Constit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e" compact="0" outline="0" multipleItemSelectionAllowed="1" showAll="0">
      <items>
        <item x="0"/>
        <item t="default"/>
      </items>
    </pivotField>
    <pivotField name="Party" compact="0" outline="0" multipleItemSelectionAllowed="1" showAll="0">
      <items>
        <item x="0"/>
        <item x="1"/>
        <item x="2"/>
        <item t="default"/>
      </items>
    </pivotField>
    <pivotField name="Candi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Total_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ote%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Winner" compact="0" outline="0" multipleItemSelectionAllowed="1" showAll="0">
      <items>
        <item x="0"/>
        <item x="1"/>
        <item t="default"/>
      </items>
    </pivotField>
  </pivotFields>
</pivotTableDefinition>
</file>

<file path=xl/pivotTables/pivotTable2.xml><?xml version="1.0" encoding="utf-8"?>
<pivotTableDefinition xmlns="http://schemas.openxmlformats.org/spreadsheetml/2006/main" name="Pivot Table 7" cacheId="0" dataCaption="" compact="0" compactData="0">
  <location ref="A1:E10" firstHeaderRow="0" firstDataRow="0" firstDataCol="0"/>
  <pivotFields>
    <pivotField name="Constit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e" compact="0" outline="0" multipleItemSelectionAllowed="1" showAll="0">
      <items>
        <item x="0"/>
        <item t="default"/>
      </items>
    </pivotField>
    <pivotField name="Party" compact="0" outline="0" multipleItemSelectionAllowed="1" showAll="0">
      <items>
        <item x="0"/>
        <item x="1"/>
        <item x="2"/>
        <item t="default"/>
      </items>
    </pivotField>
    <pivotField name="Candi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Total_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ote%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Winner" compact="0" outline="0" multipleItemSelectionAllowed="1" showAll="0">
      <items>
        <item x="0"/>
        <item x="1"/>
        <item t="default"/>
      </items>
    </pivotField>
  </pivotFields>
</pivotTableDefinition>
</file>

<file path=xl/pivotTables/pivotTable3.xml><?xml version="1.0" encoding="utf-8"?>
<pivotTableDefinition xmlns="http://schemas.openxmlformats.org/spreadsheetml/2006/main" name="Pivot Table 6" cacheId="0" dataCaption="" compact="0" compactData="0">
  <location ref="A1:E10" firstHeaderRow="0" firstDataRow="0" firstDataCol="0"/>
  <pivotFields>
    <pivotField name="Constit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e" compact="0" outline="0" multipleItemSelectionAllowed="1" showAll="0">
      <items>
        <item x="0"/>
        <item t="default"/>
      </items>
    </pivotField>
    <pivotField name="Party" compact="0" outline="0" multipleItemSelectionAllowed="1" showAll="0">
      <items>
        <item x="0"/>
        <item x="1"/>
        <item x="2"/>
        <item t="default"/>
      </items>
    </pivotField>
    <pivotField name="Candi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Total_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ote%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Winner" compact="0" outline="0" multipleItemSelectionAllowed="1" showAll="0">
      <items>
        <item x="0"/>
        <item x="1"/>
        <item t="default"/>
      </items>
    </pivotField>
  </pivotFields>
</pivotTableDefinition>
</file>

<file path=xl/pivotTables/pivotTable4.xml><?xml version="1.0" encoding="utf-8"?>
<pivotTableDefinition xmlns="http://schemas.openxmlformats.org/spreadsheetml/2006/main" name="Pivot Table 5" cacheId="1" dataCaption="" compact="0" compactData="0">
  <location ref="A1:B4" firstHeaderRow="0" firstDataRow="1" firstDataCol="0"/>
  <pivotFields>
    <pivotField name="Constit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e" compact="0" outline="0" multipleItemSelectionAllowed="1" showAll="0">
      <items>
        <item x="0"/>
        <item t="default"/>
      </items>
    </pivotField>
    <pivotField name="Party" compact="0" outline="0" multipleItemSelectionAllowed="1" showAll="0">
      <items>
        <item x="0"/>
        <item x="1"/>
        <item x="2"/>
        <item t="default"/>
      </items>
    </pivotField>
    <pivotField name="Candi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Vo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Total_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ender" axis="axisRow" compact="0" outline="0" multipleItemSelectionAllowed="1" showAll="0" sortType="ascending">
      <items>
        <item x="1"/>
        <item x="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ote%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Winner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6"/>
  </rowFields>
  <dataFields>
    <dataField name="SUM of Votes" fld="4" baseField="0"/>
  </dataFields>
</pivotTableDefinition>
</file>

<file path=xl/pivotTables/pivotTable5.xml><?xml version="1.0" encoding="utf-8"?>
<pivotTableDefinition xmlns="http://schemas.openxmlformats.org/spreadsheetml/2006/main" name="Pivot Table 4" cacheId="1" dataCaption="" compact="0" compactData="0">
  <location ref="A1:F63" firstHeaderRow="0" firstDataRow="2" firstDataCol="1"/>
  <pivotFields>
    <pivotField name="Constituency" axis="axisRow" compact="0" outline="0" multipleItemSelectionAllowed="1" showAll="0" sortType="ascending">
      <items>
        <item x="19"/>
        <item x="0"/>
        <item x="4"/>
        <item x="8"/>
        <item x="9"/>
        <item x="18"/>
        <item x="12"/>
        <item x="5"/>
        <item x="11"/>
        <item x="15"/>
        <item x="3"/>
        <item x="14"/>
        <item x="17"/>
        <item x="16"/>
        <item x="6"/>
        <item x="1"/>
        <item x="10"/>
        <item x="7"/>
        <item x="2"/>
        <item x="13"/>
        <item t="default"/>
      </items>
    </pivotField>
    <pivotField name="State" compact="0" outline="0" multipleItemSelectionAllowed="1" showAll="0">
      <items>
        <item x="0"/>
        <item t="default"/>
      </items>
    </pivotField>
    <pivotField name="Party" axis="axisCol" compact="0" outline="0" multipleItemSelectionAllowed="1" showAll="0" sortType="ascending">
      <items>
        <item x="0"/>
        <item x="2"/>
        <item x="1"/>
        <item t="default"/>
      </items>
    </pivotField>
    <pivotField name="Candi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Vo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Total_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ote%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Winner" axis="axisRow" compact="0" outline="0" multipleItemSelectionAllowed="1" showAll="0" sortType="ascending">
      <items>
        <item x="0"/>
        <item x="1"/>
        <item t="default"/>
      </items>
    </pivotField>
    <pivotField name=" 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  <field x="9"/>
  </rowFields>
  <colFields>
    <field x="2"/>
  </colFields>
  <dataFields>
    <dataField name="SUM of Votes" fld="4" baseField="0"/>
  </dataFields>
</pivotTableDefinition>
</file>

<file path=xl/pivotTables/pivotTable6.xml><?xml version="1.0" encoding="utf-8"?>
<pivotTableDefinition xmlns="http://schemas.openxmlformats.org/spreadsheetml/2006/main" name="Pivot Table 2" cacheId="0" dataCaption="" compact="0" compactData="0">
  <location ref="A1:D206" firstHeaderRow="0" firstDataRow="3" firstDataCol="0"/>
  <pivotFields>
    <pivotField name="Constituency" axis="axisRow" compact="0" outline="0" multipleItemSelectionAllowed="1" showAll="0" sortType="ascending">
      <items>
        <item x="19"/>
        <item x="0"/>
        <item x="4"/>
        <item x="8"/>
        <item x="9"/>
        <item x="18"/>
        <item x="12"/>
        <item x="5"/>
        <item x="11"/>
        <item x="15"/>
        <item x="3"/>
        <item x="14"/>
        <item x="17"/>
        <item x="16"/>
        <item x="6"/>
        <item x="1"/>
        <item x="10"/>
        <item x="7"/>
        <item x="2"/>
        <item x="13"/>
        <item t="default"/>
      </items>
    </pivotField>
    <pivotField name="State" compact="0" outline="0" multipleItemSelectionAllowed="1" showAll="0">
      <items>
        <item x="0"/>
        <item t="default"/>
      </items>
    </pivotField>
    <pivotField name="Party" axis="axisRow" compact="0" outline="0" multipleItemSelectionAllowed="1" showAll="0" sortType="ascending">
      <items>
        <item x="0"/>
        <item x="2"/>
        <item x="1"/>
        <item t="default"/>
      </items>
    </pivotField>
    <pivotField name="Candidate" axis="axisRow" compact="0" outline="0" multipleItemSelectionAllowed="1" showAll="0" sortType="ascending">
      <items>
        <item sd="0" x="2"/>
        <item x="78"/>
        <item x="40"/>
        <item x="82"/>
        <item x="11"/>
        <item x="89"/>
        <item x="56"/>
        <item x="29"/>
        <item x="63"/>
        <item x="46"/>
        <item sd="0" x="3"/>
        <item x="87"/>
        <item x="67"/>
        <item sd="0" x="22"/>
        <item x="72"/>
        <item sd="0" x="20"/>
        <item sd="0" x="90"/>
        <item x="48"/>
        <item x="39"/>
        <item x="80"/>
        <item x="6"/>
        <item x="59"/>
        <item x="43"/>
        <item x="50"/>
        <item sd="0" x="23"/>
        <item x="66"/>
        <item x="32"/>
        <item sd="0" x="70"/>
        <item x="36"/>
        <item x="81"/>
        <item x="51"/>
        <item x="14"/>
        <item x="5"/>
        <item x="27"/>
        <item x="60"/>
        <item sd="0" x="93"/>
        <item x="8"/>
        <item x="37"/>
        <item x="76"/>
        <item x="12"/>
        <item x="52"/>
        <item sd="0" x="4"/>
        <item x="65"/>
        <item x="85"/>
        <item x="44"/>
        <item x="49"/>
        <item x="19"/>
        <item x="16"/>
        <item x="9"/>
        <item x="54"/>
        <item x="73"/>
        <item x="77"/>
        <item x="58"/>
        <item x="86"/>
        <item x="15"/>
        <item x="42"/>
        <item x="28"/>
        <item x="31"/>
        <item x="74"/>
        <item x="7"/>
        <item x="17"/>
        <item x="47"/>
        <item x="71"/>
        <item x="33"/>
        <item x="13"/>
        <item x="64"/>
        <item x="41"/>
        <item sd="0" x="0"/>
        <item x="55"/>
        <item x="35"/>
        <item sd="0" x="92"/>
        <item sd="0" x="24"/>
        <item x="62"/>
        <item x="18"/>
        <item x="45"/>
        <item x="88"/>
        <item x="68"/>
        <item x="34"/>
        <item sd="0" x="91"/>
        <item sd="0" x="21"/>
        <item x="61"/>
        <item x="75"/>
        <item x="26"/>
        <item sd="0" x="1"/>
        <item x="83"/>
        <item x="57"/>
        <item x="30"/>
        <item x="84"/>
        <item x="79"/>
        <item x="10"/>
        <item x="38"/>
        <item x="53"/>
        <item x="25"/>
        <item x="69"/>
        <item t="default"/>
      </items>
    </pivotField>
    <pivotField name="Vo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Total_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ote%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Winner" compact="0" outline="0" multipleItemSelectionAllowed="1" showAll="0">
      <items>
        <item x="0"/>
        <item x="1"/>
        <item t="default"/>
      </items>
    </pivotField>
  </pivotFields>
  <rowFields>
    <field x="0"/>
    <field x="3"/>
    <field x="2"/>
  </rowFields>
  <dataFields>
    <dataField name="MAX of Votes" fld="4" subtotal="max" baseField="0"/>
  </dataFields>
</pivotTableDefinition>
</file>

<file path=xl/pivotTables/pivotTable7.xml><?xml version="1.0" encoding="utf-8"?>
<pivotTableDefinition xmlns="http://schemas.openxmlformats.org/spreadsheetml/2006/main" name="Pivot Table 3" cacheId="0" dataCaption="" compact="0" compactData="0">
  <location ref="A1:B5" firstHeaderRow="0" firstDataRow="1" firstDataCol="0"/>
  <pivotFields>
    <pivotField name="Constit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tate" compact="0" outline="0" multipleItemSelectionAllowed="1" showAll="0">
      <items>
        <item x="0"/>
        <item t="default"/>
      </items>
    </pivotField>
    <pivotField name="Party" axis="axisRow" compact="0" outline="0" multipleItemSelectionAllowed="1" showAll="0" sortType="ascending">
      <items>
        <item x="0"/>
        <item x="2"/>
        <item x="1"/>
        <item t="default"/>
      </items>
    </pivotField>
    <pivotField name="Candi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Vo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Total_V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ote%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Winner" compact="0" outline="0" multipleItemSelectionAllowed="1" showAll="0">
      <items>
        <item x="0"/>
        <item x="1"/>
        <item t="default"/>
      </items>
    </pivotField>
  </pivotFields>
  <rowFields>
    <field x="2"/>
  </rowFields>
  <dataFields>
    <dataField name="SUM of Votes" fld="4" baseField="0"/>
  </dataFields>
</pivotTableDefinition>
</file>

<file path=xl/pivotTables/pivotTable8.xml><?xml version="1.0" encoding="utf-8"?>
<pivotTableDefinition xmlns="http://schemas.openxmlformats.org/spreadsheetml/2006/main" name="Pivot Table 1" cacheId="2" dataCaption="" compact="0" compactData="0">
  <location ref="A1:C22" firstHeaderRow="0" firstDataRow="2" firstDataCol="0"/>
  <pivotFields>
    <pivotField name="Constituency" axis="axisRow" compact="0" outline="0" multipleItemSelectionAllowed="1" showAll="0" sortType="ascending">
      <items>
        <item x="19"/>
        <item x="0"/>
        <item x="4"/>
        <item x="8"/>
        <item x="9"/>
        <item x="18"/>
        <item x="12"/>
        <item x="5"/>
        <item x="11"/>
        <item x="15"/>
        <item x="3"/>
        <item x="14"/>
        <item x="17"/>
        <item x="16"/>
        <item x="6"/>
        <item x="1"/>
        <item x="10"/>
        <item x="7"/>
        <item x="2"/>
        <item x="13"/>
        <item t="default"/>
      </items>
    </pivotField>
    <pivotField name="State" compact="0" outline="0" multipleItemSelectionAllowed="1" showAll="0">
      <items>
        <item x="0"/>
        <item t="default"/>
      </items>
    </pivotField>
    <pivotField name="Party" compact="0" outline="0" multipleItemSelectionAllowed="1" showAll="0">
      <items>
        <item x="0"/>
        <item x="1"/>
        <item x="2"/>
        <item t="default"/>
      </items>
    </pivotField>
    <pivotField name="Candi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Vo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t="default"/>
      </items>
    </pivotField>
    <pivotField name="Total_Vo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0"/>
  </rowFields>
  <colFields>
    <field x="-2"/>
  </colFields>
  <dataFields>
    <dataField name="SUM of Votes" fld="4" baseField="0"/>
    <dataField name="SUM of Total_Vote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</row>
    <row r="2">
      <c r="A2" s="6" t="s">
        <v>11</v>
      </c>
      <c r="B2" s="7" t="s">
        <v>12</v>
      </c>
      <c r="C2" s="7" t="s">
        <v>13</v>
      </c>
      <c r="D2" s="7" t="s">
        <v>14</v>
      </c>
      <c r="E2" s="8">
        <v>45231.0</v>
      </c>
      <c r="F2" s="8">
        <v>120000.0</v>
      </c>
      <c r="G2" s="7" t="s">
        <v>15</v>
      </c>
      <c r="H2" s="9">
        <v>45.0</v>
      </c>
      <c r="I2" s="10">
        <f t="shared" ref="I2:I101" si="1"> (E2 / F2) * 100</f>
        <v>37.6925</v>
      </c>
      <c r="J2" s="5" t="str">
        <f t="shared" ref="J2:J101" si="2">IF(E2=MAXIFS(E:E,A:A,A2),"Winner","")</f>
        <v/>
      </c>
      <c r="K2" s="5" t="str">
        <f t="shared" ref="K2:K35" si="3">IF(E2=MAX(IF(A:A=A2,E:E)),"Winner","")</f>
        <v/>
      </c>
    </row>
    <row r="3">
      <c r="A3" s="11" t="s">
        <v>11</v>
      </c>
      <c r="B3" s="12" t="s">
        <v>12</v>
      </c>
      <c r="C3" s="12" t="s">
        <v>16</v>
      </c>
      <c r="D3" s="12" t="s">
        <v>17</v>
      </c>
      <c r="E3" s="13">
        <v>50321.0</v>
      </c>
      <c r="F3" s="13">
        <v>120000.0</v>
      </c>
      <c r="G3" s="12" t="s">
        <v>18</v>
      </c>
      <c r="H3" s="14">
        <v>38.0</v>
      </c>
      <c r="I3" s="10">
        <f t="shared" si="1"/>
        <v>41.93416667</v>
      </c>
      <c r="J3" s="5" t="str">
        <f t="shared" si="2"/>
        <v/>
      </c>
      <c r="K3" s="5" t="str">
        <f t="shared" si="3"/>
        <v/>
      </c>
    </row>
    <row r="4">
      <c r="A4" s="6" t="s">
        <v>11</v>
      </c>
      <c r="B4" s="7" t="s">
        <v>12</v>
      </c>
      <c r="C4" s="7" t="s">
        <v>19</v>
      </c>
      <c r="D4" s="7" t="s">
        <v>20</v>
      </c>
      <c r="E4" s="8">
        <v>18448.0</v>
      </c>
      <c r="F4" s="8">
        <v>120000.0</v>
      </c>
      <c r="G4" s="7" t="s">
        <v>15</v>
      </c>
      <c r="H4" s="9">
        <v>52.0</v>
      </c>
      <c r="I4" s="10">
        <f t="shared" si="1"/>
        <v>15.37333333</v>
      </c>
      <c r="J4" s="5" t="str">
        <f t="shared" si="2"/>
        <v/>
      </c>
      <c r="K4" s="5" t="str">
        <f t="shared" si="3"/>
        <v/>
      </c>
    </row>
    <row r="5">
      <c r="A5" s="11" t="s">
        <v>11</v>
      </c>
      <c r="B5" s="12" t="s">
        <v>12</v>
      </c>
      <c r="C5" s="12" t="s">
        <v>13</v>
      </c>
      <c r="D5" s="12" t="s">
        <v>21</v>
      </c>
      <c r="E5" s="13">
        <v>40211.0</v>
      </c>
      <c r="F5" s="13">
        <v>120000.0</v>
      </c>
      <c r="G5" s="12" t="s">
        <v>15</v>
      </c>
      <c r="H5" s="14">
        <v>44.0</v>
      </c>
      <c r="I5" s="10">
        <f t="shared" si="1"/>
        <v>33.50916667</v>
      </c>
      <c r="J5" s="5" t="str">
        <f t="shared" si="2"/>
        <v/>
      </c>
      <c r="K5" s="5" t="str">
        <f t="shared" si="3"/>
        <v/>
      </c>
    </row>
    <row r="6">
      <c r="A6" s="6" t="s">
        <v>11</v>
      </c>
      <c r="B6" s="7" t="s">
        <v>12</v>
      </c>
      <c r="C6" s="7" t="s">
        <v>16</v>
      </c>
      <c r="D6" s="7" t="s">
        <v>22</v>
      </c>
      <c r="E6" s="8">
        <v>51234.0</v>
      </c>
      <c r="F6" s="8">
        <v>120000.0</v>
      </c>
      <c r="G6" s="7" t="s">
        <v>18</v>
      </c>
      <c r="H6" s="9">
        <v>36.0</v>
      </c>
      <c r="I6" s="10">
        <f t="shared" si="1"/>
        <v>42.695</v>
      </c>
      <c r="J6" s="5" t="str">
        <f t="shared" si="2"/>
        <v>Winner</v>
      </c>
      <c r="K6" s="5" t="str">
        <f t="shared" si="3"/>
        <v/>
      </c>
    </row>
    <row r="7">
      <c r="A7" s="11" t="s">
        <v>23</v>
      </c>
      <c r="B7" s="12" t="s">
        <v>12</v>
      </c>
      <c r="C7" s="12" t="s">
        <v>13</v>
      </c>
      <c r="D7" s="12" t="s">
        <v>24</v>
      </c>
      <c r="E7" s="13">
        <v>62341.0</v>
      </c>
      <c r="F7" s="13">
        <v>150000.0</v>
      </c>
      <c r="G7" s="12" t="s">
        <v>15</v>
      </c>
      <c r="H7" s="14">
        <v>41.0</v>
      </c>
      <c r="I7" s="10">
        <f t="shared" si="1"/>
        <v>41.56066667</v>
      </c>
      <c r="J7" s="5" t="str">
        <f t="shared" si="2"/>
        <v>Winner</v>
      </c>
      <c r="K7" s="5" t="str">
        <f t="shared" si="3"/>
        <v/>
      </c>
    </row>
    <row r="8">
      <c r="A8" s="6" t="s">
        <v>23</v>
      </c>
      <c r="B8" s="7" t="s">
        <v>12</v>
      </c>
      <c r="C8" s="7" t="s">
        <v>16</v>
      </c>
      <c r="D8" s="7" t="s">
        <v>25</v>
      </c>
      <c r="E8" s="8">
        <v>54321.0</v>
      </c>
      <c r="F8" s="8">
        <v>150000.0</v>
      </c>
      <c r="G8" s="7" t="s">
        <v>18</v>
      </c>
      <c r="H8" s="9">
        <v>36.0</v>
      </c>
      <c r="I8" s="10">
        <f t="shared" si="1"/>
        <v>36.214</v>
      </c>
      <c r="J8" s="5" t="str">
        <f t="shared" si="2"/>
        <v/>
      </c>
      <c r="K8" s="5" t="str">
        <f t="shared" si="3"/>
        <v/>
      </c>
    </row>
    <row r="9">
      <c r="A9" s="11" t="s">
        <v>23</v>
      </c>
      <c r="B9" s="12" t="s">
        <v>12</v>
      </c>
      <c r="C9" s="12" t="s">
        <v>19</v>
      </c>
      <c r="D9" s="12" t="s">
        <v>26</v>
      </c>
      <c r="E9" s="13">
        <v>33211.0</v>
      </c>
      <c r="F9" s="13">
        <v>150000.0</v>
      </c>
      <c r="G9" s="12" t="s">
        <v>15</v>
      </c>
      <c r="H9" s="14">
        <v>48.0</v>
      </c>
      <c r="I9" s="10">
        <f t="shared" si="1"/>
        <v>22.14066667</v>
      </c>
      <c r="J9" s="5" t="str">
        <f t="shared" si="2"/>
        <v/>
      </c>
      <c r="K9" s="5" t="str">
        <f t="shared" si="3"/>
        <v/>
      </c>
    </row>
    <row r="10">
      <c r="A10" s="6" t="s">
        <v>23</v>
      </c>
      <c r="B10" s="7" t="s">
        <v>12</v>
      </c>
      <c r="C10" s="7" t="s">
        <v>13</v>
      </c>
      <c r="D10" s="7" t="s">
        <v>27</v>
      </c>
      <c r="E10" s="8">
        <v>60234.0</v>
      </c>
      <c r="F10" s="8">
        <v>150000.0</v>
      </c>
      <c r="G10" s="7" t="s">
        <v>15</v>
      </c>
      <c r="H10" s="9">
        <v>46.0</v>
      </c>
      <c r="I10" s="10">
        <f t="shared" si="1"/>
        <v>40.156</v>
      </c>
      <c r="J10" s="5" t="str">
        <f t="shared" si="2"/>
        <v/>
      </c>
      <c r="K10" s="5" t="str">
        <f t="shared" si="3"/>
        <v/>
      </c>
    </row>
    <row r="11">
      <c r="A11" s="11" t="s">
        <v>23</v>
      </c>
      <c r="B11" s="12" t="s">
        <v>12</v>
      </c>
      <c r="C11" s="12" t="s">
        <v>16</v>
      </c>
      <c r="D11" s="12" t="s">
        <v>28</v>
      </c>
      <c r="E11" s="13">
        <v>55120.0</v>
      </c>
      <c r="F11" s="13">
        <v>150000.0</v>
      </c>
      <c r="G11" s="12" t="s">
        <v>18</v>
      </c>
      <c r="H11" s="14">
        <v>34.0</v>
      </c>
      <c r="I11" s="10">
        <f t="shared" si="1"/>
        <v>36.74666667</v>
      </c>
      <c r="J11" s="5" t="str">
        <f t="shared" si="2"/>
        <v/>
      </c>
      <c r="K11" s="5" t="str">
        <f t="shared" si="3"/>
        <v/>
      </c>
    </row>
    <row r="12">
      <c r="A12" s="6" t="s">
        <v>29</v>
      </c>
      <c r="B12" s="7" t="s">
        <v>12</v>
      </c>
      <c r="C12" s="7" t="s">
        <v>13</v>
      </c>
      <c r="D12" s="7" t="s">
        <v>30</v>
      </c>
      <c r="E12" s="8">
        <v>41234.0</v>
      </c>
      <c r="F12" s="8">
        <v>110000.0</v>
      </c>
      <c r="G12" s="7" t="s">
        <v>15</v>
      </c>
      <c r="H12" s="9">
        <v>50.0</v>
      </c>
      <c r="I12" s="10">
        <f t="shared" si="1"/>
        <v>37.48545455</v>
      </c>
      <c r="J12" s="5" t="str">
        <f t="shared" si="2"/>
        <v/>
      </c>
      <c r="K12" s="5" t="str">
        <f t="shared" si="3"/>
        <v/>
      </c>
    </row>
    <row r="13">
      <c r="A13" s="11" t="s">
        <v>29</v>
      </c>
      <c r="B13" s="12" t="s">
        <v>12</v>
      </c>
      <c r="C13" s="12" t="s">
        <v>16</v>
      </c>
      <c r="D13" s="12" t="s">
        <v>31</v>
      </c>
      <c r="E13" s="13">
        <v>45210.0</v>
      </c>
      <c r="F13" s="13">
        <v>110000.0</v>
      </c>
      <c r="G13" s="12" t="s">
        <v>18</v>
      </c>
      <c r="H13" s="14">
        <v>39.0</v>
      </c>
      <c r="I13" s="10">
        <f t="shared" si="1"/>
        <v>41.1</v>
      </c>
      <c r="J13" s="5" t="str">
        <f t="shared" si="2"/>
        <v/>
      </c>
      <c r="K13" s="5" t="str">
        <f t="shared" si="3"/>
        <v/>
      </c>
    </row>
    <row r="14">
      <c r="A14" s="6" t="s">
        <v>29</v>
      </c>
      <c r="B14" s="7" t="s">
        <v>12</v>
      </c>
      <c r="C14" s="7" t="s">
        <v>19</v>
      </c>
      <c r="D14" s="7" t="s">
        <v>32</v>
      </c>
      <c r="E14" s="8">
        <v>23556.0</v>
      </c>
      <c r="F14" s="8">
        <v>110000.0</v>
      </c>
      <c r="G14" s="7" t="s">
        <v>15</v>
      </c>
      <c r="H14" s="9">
        <v>44.0</v>
      </c>
      <c r="I14" s="10">
        <f t="shared" si="1"/>
        <v>21.41454545</v>
      </c>
      <c r="J14" s="5" t="str">
        <f t="shared" si="2"/>
        <v/>
      </c>
      <c r="K14" s="5" t="str">
        <f t="shared" si="3"/>
        <v/>
      </c>
    </row>
    <row r="15">
      <c r="A15" s="11" t="s">
        <v>29</v>
      </c>
      <c r="B15" s="12" t="s">
        <v>12</v>
      </c>
      <c r="C15" s="12" t="s">
        <v>13</v>
      </c>
      <c r="D15" s="12" t="s">
        <v>33</v>
      </c>
      <c r="E15" s="13">
        <v>39876.0</v>
      </c>
      <c r="F15" s="13">
        <v>110000.0</v>
      </c>
      <c r="G15" s="12" t="s">
        <v>15</v>
      </c>
      <c r="H15" s="14">
        <v>47.0</v>
      </c>
      <c r="I15" s="10">
        <f t="shared" si="1"/>
        <v>36.25090909</v>
      </c>
      <c r="J15" s="5" t="str">
        <f t="shared" si="2"/>
        <v/>
      </c>
      <c r="K15" s="5" t="str">
        <f t="shared" si="3"/>
        <v/>
      </c>
    </row>
    <row r="16">
      <c r="A16" s="6" t="s">
        <v>29</v>
      </c>
      <c r="B16" s="7" t="s">
        <v>12</v>
      </c>
      <c r="C16" s="7" t="s">
        <v>16</v>
      </c>
      <c r="D16" s="7" t="s">
        <v>34</v>
      </c>
      <c r="E16" s="8">
        <v>46211.0</v>
      </c>
      <c r="F16" s="8">
        <v>110000.0</v>
      </c>
      <c r="G16" s="7" t="s">
        <v>18</v>
      </c>
      <c r="H16" s="9">
        <v>35.0</v>
      </c>
      <c r="I16" s="10">
        <f t="shared" si="1"/>
        <v>42.01</v>
      </c>
      <c r="J16" s="5" t="str">
        <f t="shared" si="2"/>
        <v>Winner</v>
      </c>
      <c r="K16" s="5" t="str">
        <f t="shared" si="3"/>
        <v/>
      </c>
      <c r="L16" s="15">
        <f>MAX(H6:H101)</f>
        <v>55</v>
      </c>
    </row>
    <row r="17">
      <c r="A17" s="11" t="s">
        <v>35</v>
      </c>
      <c r="B17" s="12" t="s">
        <v>12</v>
      </c>
      <c r="C17" s="12" t="s">
        <v>13</v>
      </c>
      <c r="D17" s="12" t="s">
        <v>36</v>
      </c>
      <c r="E17" s="13">
        <v>71234.0</v>
      </c>
      <c r="F17" s="13">
        <v>180000.0</v>
      </c>
      <c r="G17" s="12" t="s">
        <v>15</v>
      </c>
      <c r="H17" s="14">
        <v>55.0</v>
      </c>
      <c r="I17" s="10">
        <f t="shared" si="1"/>
        <v>39.57444444</v>
      </c>
      <c r="J17" s="5" t="str">
        <f t="shared" si="2"/>
        <v>Winner</v>
      </c>
      <c r="K17" s="5" t="str">
        <f t="shared" si="3"/>
        <v>Winner</v>
      </c>
    </row>
    <row r="18">
      <c r="A18" s="6" t="s">
        <v>35</v>
      </c>
      <c r="B18" s="7" t="s">
        <v>12</v>
      </c>
      <c r="C18" s="7" t="s">
        <v>16</v>
      </c>
      <c r="D18" s="7" t="s">
        <v>37</v>
      </c>
      <c r="E18" s="8">
        <v>65432.0</v>
      </c>
      <c r="F18" s="8">
        <v>180000.0</v>
      </c>
      <c r="G18" s="7" t="s">
        <v>18</v>
      </c>
      <c r="H18" s="9">
        <v>42.0</v>
      </c>
      <c r="I18" s="10">
        <f t="shared" si="1"/>
        <v>36.35111111</v>
      </c>
      <c r="J18" s="5" t="str">
        <f t="shared" si="2"/>
        <v/>
      </c>
      <c r="K18" s="5" t="str">
        <f t="shared" si="3"/>
        <v/>
      </c>
    </row>
    <row r="19">
      <c r="A19" s="11" t="s">
        <v>35</v>
      </c>
      <c r="B19" s="12" t="s">
        <v>12</v>
      </c>
      <c r="C19" s="12" t="s">
        <v>19</v>
      </c>
      <c r="D19" s="12" t="s">
        <v>38</v>
      </c>
      <c r="E19" s="13">
        <v>43334.0</v>
      </c>
      <c r="F19" s="13">
        <v>180000.0</v>
      </c>
      <c r="G19" s="12" t="s">
        <v>15</v>
      </c>
      <c r="H19" s="14">
        <v>47.0</v>
      </c>
      <c r="I19" s="10">
        <f t="shared" si="1"/>
        <v>24.07444444</v>
      </c>
      <c r="J19" s="5" t="str">
        <f t="shared" si="2"/>
        <v/>
      </c>
      <c r="K19" s="5" t="str">
        <f t="shared" si="3"/>
        <v/>
      </c>
    </row>
    <row r="20">
      <c r="A20" s="6" t="s">
        <v>35</v>
      </c>
      <c r="B20" s="7" t="s">
        <v>12</v>
      </c>
      <c r="C20" s="7" t="s">
        <v>13</v>
      </c>
      <c r="D20" s="7" t="s">
        <v>39</v>
      </c>
      <c r="E20" s="8">
        <v>70211.0</v>
      </c>
      <c r="F20" s="8">
        <v>180000.0</v>
      </c>
      <c r="G20" s="7" t="s">
        <v>15</v>
      </c>
      <c r="H20" s="9">
        <v>53.0</v>
      </c>
      <c r="I20" s="10">
        <f t="shared" si="1"/>
        <v>39.00611111</v>
      </c>
      <c r="J20" s="5" t="str">
        <f t="shared" si="2"/>
        <v/>
      </c>
      <c r="K20" s="5" t="str">
        <f t="shared" si="3"/>
        <v/>
      </c>
    </row>
    <row r="21">
      <c r="A21" s="11" t="s">
        <v>35</v>
      </c>
      <c r="B21" s="12" t="s">
        <v>12</v>
      </c>
      <c r="C21" s="12" t="s">
        <v>16</v>
      </c>
      <c r="D21" s="12" t="s">
        <v>40</v>
      </c>
      <c r="E21" s="13">
        <v>66123.0</v>
      </c>
      <c r="F21" s="13">
        <v>180000.0</v>
      </c>
      <c r="G21" s="12" t="s">
        <v>18</v>
      </c>
      <c r="H21" s="14">
        <v>40.0</v>
      </c>
      <c r="I21" s="10">
        <f t="shared" si="1"/>
        <v>36.735</v>
      </c>
      <c r="J21" s="5" t="str">
        <f t="shared" si="2"/>
        <v/>
      </c>
      <c r="K21" s="5" t="str">
        <f t="shared" si="3"/>
        <v/>
      </c>
    </row>
    <row r="22">
      <c r="A22" s="6" t="s">
        <v>41</v>
      </c>
      <c r="B22" s="7" t="s">
        <v>12</v>
      </c>
      <c r="C22" s="7" t="s">
        <v>13</v>
      </c>
      <c r="D22" s="7" t="s">
        <v>42</v>
      </c>
      <c r="E22" s="8">
        <v>52341.0</v>
      </c>
      <c r="F22" s="8">
        <v>140000.0</v>
      </c>
      <c r="G22" s="7" t="s">
        <v>15</v>
      </c>
      <c r="H22" s="9">
        <v>49.0</v>
      </c>
      <c r="I22" s="10">
        <f t="shared" si="1"/>
        <v>37.38642857</v>
      </c>
      <c r="J22" s="5" t="str">
        <f t="shared" si="2"/>
        <v/>
      </c>
      <c r="K22" s="5" t="str">
        <f t="shared" si="3"/>
        <v/>
      </c>
    </row>
    <row r="23">
      <c r="A23" s="11" t="s">
        <v>41</v>
      </c>
      <c r="B23" s="12" t="s">
        <v>12</v>
      </c>
      <c r="C23" s="12" t="s">
        <v>16</v>
      </c>
      <c r="D23" s="12" t="s">
        <v>43</v>
      </c>
      <c r="E23" s="13">
        <v>56321.0</v>
      </c>
      <c r="F23" s="13">
        <v>140000.0</v>
      </c>
      <c r="G23" s="12" t="s">
        <v>18</v>
      </c>
      <c r="H23" s="14">
        <v>37.0</v>
      </c>
      <c r="I23" s="10">
        <f t="shared" si="1"/>
        <v>40.22928571</v>
      </c>
      <c r="J23" s="5" t="str">
        <f t="shared" si="2"/>
        <v/>
      </c>
      <c r="K23" s="5" t="str">
        <f t="shared" si="3"/>
        <v/>
      </c>
    </row>
    <row r="24">
      <c r="A24" s="6" t="s">
        <v>41</v>
      </c>
      <c r="B24" s="7" t="s">
        <v>12</v>
      </c>
      <c r="C24" s="7" t="s">
        <v>19</v>
      </c>
      <c r="D24" s="7" t="s">
        <v>44</v>
      </c>
      <c r="E24" s="8">
        <v>30112.0</v>
      </c>
      <c r="F24" s="8">
        <v>140000.0</v>
      </c>
      <c r="G24" s="7" t="s">
        <v>15</v>
      </c>
      <c r="H24" s="9">
        <v>51.0</v>
      </c>
      <c r="I24" s="10">
        <f t="shared" si="1"/>
        <v>21.50857143</v>
      </c>
      <c r="J24" s="5" t="str">
        <f t="shared" si="2"/>
        <v/>
      </c>
      <c r="K24" s="5" t="str">
        <f t="shared" si="3"/>
        <v/>
      </c>
    </row>
    <row r="25">
      <c r="A25" s="11" t="s">
        <v>41</v>
      </c>
      <c r="B25" s="12" t="s">
        <v>12</v>
      </c>
      <c r="C25" s="12" t="s">
        <v>13</v>
      </c>
      <c r="D25" s="12" t="s">
        <v>45</v>
      </c>
      <c r="E25" s="13">
        <v>49876.0</v>
      </c>
      <c r="F25" s="13">
        <v>140000.0</v>
      </c>
      <c r="G25" s="12" t="s">
        <v>15</v>
      </c>
      <c r="H25" s="14">
        <v>45.0</v>
      </c>
      <c r="I25" s="10">
        <f t="shared" si="1"/>
        <v>35.62571429</v>
      </c>
      <c r="J25" s="5" t="str">
        <f t="shared" si="2"/>
        <v/>
      </c>
      <c r="K25" s="5" t="str">
        <f t="shared" si="3"/>
        <v/>
      </c>
    </row>
    <row r="26">
      <c r="A26" s="6" t="s">
        <v>41</v>
      </c>
      <c r="B26" s="7" t="s">
        <v>12</v>
      </c>
      <c r="C26" s="7" t="s">
        <v>16</v>
      </c>
      <c r="D26" s="7" t="s">
        <v>46</v>
      </c>
      <c r="E26" s="8">
        <v>57210.0</v>
      </c>
      <c r="F26" s="8">
        <v>140000.0</v>
      </c>
      <c r="G26" s="7" t="s">
        <v>18</v>
      </c>
      <c r="H26" s="9">
        <v>33.0</v>
      </c>
      <c r="I26" s="10">
        <f t="shared" si="1"/>
        <v>40.86428571</v>
      </c>
      <c r="J26" s="5" t="str">
        <f t="shared" si="2"/>
        <v>Winner</v>
      </c>
      <c r="K26" s="5" t="str">
        <f t="shared" si="3"/>
        <v/>
      </c>
    </row>
    <row r="27">
      <c r="A27" s="11" t="s">
        <v>47</v>
      </c>
      <c r="B27" s="12" t="s">
        <v>12</v>
      </c>
      <c r="C27" s="12" t="s">
        <v>13</v>
      </c>
      <c r="D27" s="12" t="s">
        <v>48</v>
      </c>
      <c r="E27" s="13">
        <v>48321.0</v>
      </c>
      <c r="F27" s="13">
        <v>130000.0</v>
      </c>
      <c r="G27" s="12" t="s">
        <v>15</v>
      </c>
      <c r="H27" s="14">
        <v>46.0</v>
      </c>
      <c r="I27" s="10">
        <f t="shared" si="1"/>
        <v>37.17</v>
      </c>
      <c r="J27" s="5" t="str">
        <f t="shared" si="2"/>
        <v/>
      </c>
      <c r="K27" s="5" t="str">
        <f t="shared" si="3"/>
        <v/>
      </c>
    </row>
    <row r="28">
      <c r="A28" s="6" t="s">
        <v>47</v>
      </c>
      <c r="B28" s="7" t="s">
        <v>12</v>
      </c>
      <c r="C28" s="7" t="s">
        <v>16</v>
      </c>
      <c r="D28" s="7" t="s">
        <v>49</v>
      </c>
      <c r="E28" s="8">
        <v>51234.0</v>
      </c>
      <c r="F28" s="8">
        <v>130000.0</v>
      </c>
      <c r="G28" s="7" t="s">
        <v>18</v>
      </c>
      <c r="H28" s="9">
        <v>35.0</v>
      </c>
      <c r="I28" s="10">
        <f t="shared" si="1"/>
        <v>39.41076923</v>
      </c>
      <c r="J28" s="5" t="str">
        <f t="shared" si="2"/>
        <v/>
      </c>
      <c r="K28" s="5" t="str">
        <f t="shared" si="3"/>
        <v/>
      </c>
    </row>
    <row r="29">
      <c r="A29" s="11" t="s">
        <v>47</v>
      </c>
      <c r="B29" s="12" t="s">
        <v>12</v>
      </c>
      <c r="C29" s="12" t="s">
        <v>19</v>
      </c>
      <c r="D29" s="12" t="s">
        <v>50</v>
      </c>
      <c r="E29" s="13">
        <v>28900.0</v>
      </c>
      <c r="F29" s="13">
        <v>130000.0</v>
      </c>
      <c r="G29" s="12" t="s">
        <v>15</v>
      </c>
      <c r="H29" s="14">
        <v>50.0</v>
      </c>
      <c r="I29" s="10">
        <f t="shared" si="1"/>
        <v>22.23076923</v>
      </c>
      <c r="J29" s="5" t="str">
        <f t="shared" si="2"/>
        <v/>
      </c>
      <c r="K29" s="5" t="str">
        <f t="shared" si="3"/>
        <v/>
      </c>
    </row>
    <row r="30">
      <c r="A30" s="6" t="s">
        <v>47</v>
      </c>
      <c r="B30" s="7" t="s">
        <v>12</v>
      </c>
      <c r="C30" s="7" t="s">
        <v>13</v>
      </c>
      <c r="D30" s="7" t="s">
        <v>51</v>
      </c>
      <c r="E30" s="8">
        <v>47210.0</v>
      </c>
      <c r="F30" s="8">
        <v>130000.0</v>
      </c>
      <c r="G30" s="7" t="s">
        <v>15</v>
      </c>
      <c r="H30" s="9">
        <v>48.0</v>
      </c>
      <c r="I30" s="10">
        <f t="shared" si="1"/>
        <v>36.31538462</v>
      </c>
      <c r="J30" s="5" t="str">
        <f t="shared" si="2"/>
        <v/>
      </c>
      <c r="K30" s="5" t="str">
        <f t="shared" si="3"/>
        <v/>
      </c>
    </row>
    <row r="31">
      <c r="A31" s="11" t="s">
        <v>47</v>
      </c>
      <c r="B31" s="12" t="s">
        <v>12</v>
      </c>
      <c r="C31" s="12" t="s">
        <v>16</v>
      </c>
      <c r="D31" s="12" t="s">
        <v>52</v>
      </c>
      <c r="E31" s="13">
        <v>52110.0</v>
      </c>
      <c r="F31" s="13">
        <v>130000.0</v>
      </c>
      <c r="G31" s="12" t="s">
        <v>18</v>
      </c>
      <c r="H31" s="14">
        <v>34.0</v>
      </c>
      <c r="I31" s="10">
        <f t="shared" si="1"/>
        <v>40.08461538</v>
      </c>
      <c r="J31" s="5" t="str">
        <f t="shared" si="2"/>
        <v>Winner</v>
      </c>
      <c r="K31" s="5" t="str">
        <f t="shared" si="3"/>
        <v/>
      </c>
    </row>
    <row r="32">
      <c r="A32" s="6" t="s">
        <v>53</v>
      </c>
      <c r="B32" s="7" t="s">
        <v>12</v>
      </c>
      <c r="C32" s="7" t="s">
        <v>13</v>
      </c>
      <c r="D32" s="7" t="s">
        <v>54</v>
      </c>
      <c r="E32" s="8">
        <v>60321.0</v>
      </c>
      <c r="F32" s="8">
        <v>160000.0</v>
      </c>
      <c r="G32" s="7" t="s">
        <v>15</v>
      </c>
      <c r="H32" s="9">
        <v>52.0</v>
      </c>
      <c r="I32" s="10">
        <f t="shared" si="1"/>
        <v>37.700625</v>
      </c>
      <c r="J32" s="5" t="str">
        <f t="shared" si="2"/>
        <v/>
      </c>
      <c r="K32" s="5" t="str">
        <f t="shared" si="3"/>
        <v/>
      </c>
    </row>
    <row r="33">
      <c r="A33" s="11" t="s">
        <v>53</v>
      </c>
      <c r="B33" s="12" t="s">
        <v>12</v>
      </c>
      <c r="C33" s="12" t="s">
        <v>16</v>
      </c>
      <c r="D33" s="12" t="s">
        <v>55</v>
      </c>
      <c r="E33" s="13">
        <v>62345.0</v>
      </c>
      <c r="F33" s="13">
        <v>160000.0</v>
      </c>
      <c r="G33" s="12" t="s">
        <v>18</v>
      </c>
      <c r="H33" s="14">
        <v>38.0</v>
      </c>
      <c r="I33" s="10">
        <f t="shared" si="1"/>
        <v>38.965625</v>
      </c>
      <c r="J33" s="5" t="str">
        <f t="shared" si="2"/>
        <v/>
      </c>
      <c r="K33" s="5" t="str">
        <f t="shared" si="3"/>
        <v/>
      </c>
    </row>
    <row r="34">
      <c r="A34" s="6" t="s">
        <v>53</v>
      </c>
      <c r="B34" s="7" t="s">
        <v>12</v>
      </c>
      <c r="C34" s="7" t="s">
        <v>19</v>
      </c>
      <c r="D34" s="7" t="s">
        <v>56</v>
      </c>
      <c r="E34" s="8">
        <v>32100.0</v>
      </c>
      <c r="F34" s="8">
        <v>160000.0</v>
      </c>
      <c r="G34" s="7" t="s">
        <v>15</v>
      </c>
      <c r="H34" s="9">
        <v>49.0</v>
      </c>
      <c r="I34" s="10">
        <f t="shared" si="1"/>
        <v>20.0625</v>
      </c>
      <c r="J34" s="5" t="str">
        <f t="shared" si="2"/>
        <v/>
      </c>
      <c r="K34" s="5" t="str">
        <f t="shared" si="3"/>
        <v/>
      </c>
    </row>
    <row r="35">
      <c r="A35" s="11" t="s">
        <v>53</v>
      </c>
      <c r="B35" s="12" t="s">
        <v>12</v>
      </c>
      <c r="C35" s="12" t="s">
        <v>13</v>
      </c>
      <c r="D35" s="12" t="s">
        <v>57</v>
      </c>
      <c r="E35" s="13">
        <v>59234.0</v>
      </c>
      <c r="F35" s="13">
        <v>160000.0</v>
      </c>
      <c r="G35" s="12" t="s">
        <v>15</v>
      </c>
      <c r="H35" s="14">
        <v>51.0</v>
      </c>
      <c r="I35" s="10">
        <f t="shared" si="1"/>
        <v>37.02125</v>
      </c>
      <c r="J35" s="5" t="str">
        <f t="shared" si="2"/>
        <v/>
      </c>
      <c r="K35" s="5" t="str">
        <f t="shared" si="3"/>
        <v/>
      </c>
    </row>
    <row r="36">
      <c r="A36" s="6" t="s">
        <v>53</v>
      </c>
      <c r="B36" s="7" t="s">
        <v>12</v>
      </c>
      <c r="C36" s="7" t="s">
        <v>16</v>
      </c>
      <c r="D36" s="7" t="s">
        <v>58</v>
      </c>
      <c r="E36" s="8">
        <v>63100.0</v>
      </c>
      <c r="F36" s="8">
        <v>160000.0</v>
      </c>
      <c r="G36" s="7" t="s">
        <v>18</v>
      </c>
      <c r="H36" s="9">
        <v>36.0</v>
      </c>
      <c r="I36" s="10">
        <f t="shared" si="1"/>
        <v>39.4375</v>
      </c>
      <c r="J36" s="5" t="str">
        <f t="shared" si="2"/>
        <v>Winner</v>
      </c>
      <c r="K36" s="5">
        <f>AVERAGE(H6:H101)</f>
        <v>43.125</v>
      </c>
    </row>
    <row r="37">
      <c r="A37" s="11" t="s">
        <v>59</v>
      </c>
      <c r="B37" s="12" t="s">
        <v>12</v>
      </c>
      <c r="C37" s="12" t="s">
        <v>13</v>
      </c>
      <c r="D37" s="12" t="s">
        <v>60</v>
      </c>
      <c r="E37" s="13">
        <v>48210.0</v>
      </c>
      <c r="F37" s="13">
        <v>125000.0</v>
      </c>
      <c r="G37" s="12" t="s">
        <v>15</v>
      </c>
      <c r="H37" s="14">
        <v>47.0</v>
      </c>
      <c r="I37" s="10">
        <f t="shared" si="1"/>
        <v>38.568</v>
      </c>
      <c r="J37" s="5" t="str">
        <f t="shared" si="2"/>
        <v/>
      </c>
      <c r="K37" s="5" t="str">
        <f t="shared" ref="K37:K45" si="4">IF(E37=MAX(IF(A:A=A37,E:E)),"Winner","")</f>
        <v/>
      </c>
    </row>
    <row r="38">
      <c r="A38" s="6" t="s">
        <v>59</v>
      </c>
      <c r="B38" s="7" t="s">
        <v>12</v>
      </c>
      <c r="C38" s="7" t="s">
        <v>16</v>
      </c>
      <c r="D38" s="7" t="s">
        <v>61</v>
      </c>
      <c r="E38" s="8">
        <v>50123.0</v>
      </c>
      <c r="F38" s="8">
        <v>125000.0</v>
      </c>
      <c r="G38" s="7" t="s">
        <v>18</v>
      </c>
      <c r="H38" s="9">
        <v>35.0</v>
      </c>
      <c r="I38" s="10">
        <f t="shared" si="1"/>
        <v>40.0984</v>
      </c>
      <c r="J38" s="5" t="str">
        <f t="shared" si="2"/>
        <v/>
      </c>
      <c r="K38" s="5" t="str">
        <f t="shared" si="4"/>
        <v/>
      </c>
    </row>
    <row r="39">
      <c r="A39" s="11" t="s">
        <v>59</v>
      </c>
      <c r="B39" s="12" t="s">
        <v>12</v>
      </c>
      <c r="C39" s="12" t="s">
        <v>19</v>
      </c>
      <c r="D39" s="12" t="s">
        <v>62</v>
      </c>
      <c r="E39" s="13">
        <v>26789.0</v>
      </c>
      <c r="F39" s="13">
        <v>125000.0</v>
      </c>
      <c r="G39" s="12" t="s">
        <v>15</v>
      </c>
      <c r="H39" s="14">
        <v>50.0</v>
      </c>
      <c r="I39" s="10">
        <f t="shared" si="1"/>
        <v>21.4312</v>
      </c>
      <c r="J39" s="5" t="str">
        <f t="shared" si="2"/>
        <v/>
      </c>
      <c r="K39" s="5" t="str">
        <f t="shared" si="4"/>
        <v/>
      </c>
    </row>
    <row r="40">
      <c r="A40" s="6" t="s">
        <v>59</v>
      </c>
      <c r="B40" s="7" t="s">
        <v>12</v>
      </c>
      <c r="C40" s="7" t="s">
        <v>13</v>
      </c>
      <c r="D40" s="7" t="s">
        <v>63</v>
      </c>
      <c r="E40" s="8">
        <v>47123.0</v>
      </c>
      <c r="F40" s="8">
        <v>125000.0</v>
      </c>
      <c r="G40" s="7" t="s">
        <v>15</v>
      </c>
      <c r="H40" s="9">
        <v>46.0</v>
      </c>
      <c r="I40" s="10">
        <f t="shared" si="1"/>
        <v>37.6984</v>
      </c>
      <c r="J40" s="5" t="str">
        <f t="shared" si="2"/>
        <v/>
      </c>
      <c r="K40" s="5" t="str">
        <f t="shared" si="4"/>
        <v/>
      </c>
    </row>
    <row r="41">
      <c r="A41" s="11" t="s">
        <v>59</v>
      </c>
      <c r="B41" s="12" t="s">
        <v>12</v>
      </c>
      <c r="C41" s="12" t="s">
        <v>16</v>
      </c>
      <c r="D41" s="12" t="s">
        <v>64</v>
      </c>
      <c r="E41" s="13">
        <v>51200.0</v>
      </c>
      <c r="F41" s="13">
        <v>125000.0</v>
      </c>
      <c r="G41" s="12" t="s">
        <v>18</v>
      </c>
      <c r="H41" s="14">
        <v>34.0</v>
      </c>
      <c r="I41" s="10">
        <f t="shared" si="1"/>
        <v>40.96</v>
      </c>
      <c r="J41" s="5" t="str">
        <f t="shared" si="2"/>
        <v>Winner</v>
      </c>
      <c r="K41" s="5" t="str">
        <f t="shared" si="4"/>
        <v/>
      </c>
    </row>
    <row r="42">
      <c r="A42" s="6" t="s">
        <v>65</v>
      </c>
      <c r="B42" s="7" t="s">
        <v>12</v>
      </c>
      <c r="C42" s="7" t="s">
        <v>13</v>
      </c>
      <c r="D42" s="7" t="s">
        <v>66</v>
      </c>
      <c r="E42" s="8">
        <v>53321.0</v>
      </c>
      <c r="F42" s="8">
        <v>145000.0</v>
      </c>
      <c r="G42" s="7" t="s">
        <v>15</v>
      </c>
      <c r="H42" s="9">
        <v>48.0</v>
      </c>
      <c r="I42" s="10">
        <f t="shared" si="1"/>
        <v>36.77310345</v>
      </c>
      <c r="J42" s="5" t="str">
        <f t="shared" si="2"/>
        <v/>
      </c>
      <c r="K42" s="5" t="str">
        <f t="shared" si="4"/>
        <v/>
      </c>
    </row>
    <row r="43">
      <c r="A43" s="11" t="s">
        <v>65</v>
      </c>
      <c r="B43" s="12" t="s">
        <v>12</v>
      </c>
      <c r="C43" s="12" t="s">
        <v>16</v>
      </c>
      <c r="D43" s="12" t="s">
        <v>67</v>
      </c>
      <c r="E43" s="13">
        <v>56234.0</v>
      </c>
      <c r="F43" s="13">
        <v>145000.0</v>
      </c>
      <c r="G43" s="12" t="s">
        <v>18</v>
      </c>
      <c r="H43" s="14">
        <v>37.0</v>
      </c>
      <c r="I43" s="10">
        <f t="shared" si="1"/>
        <v>38.78206897</v>
      </c>
      <c r="J43" s="5" t="str">
        <f t="shared" si="2"/>
        <v/>
      </c>
      <c r="K43" s="5" t="str">
        <f t="shared" si="4"/>
        <v/>
      </c>
    </row>
    <row r="44">
      <c r="A44" s="6" t="s">
        <v>65</v>
      </c>
      <c r="B44" s="7" t="s">
        <v>12</v>
      </c>
      <c r="C44" s="7" t="s">
        <v>19</v>
      </c>
      <c r="D44" s="7" t="s">
        <v>68</v>
      </c>
      <c r="E44" s="8">
        <v>31234.0</v>
      </c>
      <c r="F44" s="8">
        <v>145000.0</v>
      </c>
      <c r="G44" s="7" t="s">
        <v>15</v>
      </c>
      <c r="H44" s="9">
        <v>52.0</v>
      </c>
      <c r="I44" s="10">
        <f t="shared" si="1"/>
        <v>21.54068966</v>
      </c>
      <c r="J44" s="5" t="str">
        <f t="shared" si="2"/>
        <v/>
      </c>
      <c r="K44" s="5" t="str">
        <f t="shared" si="4"/>
        <v/>
      </c>
    </row>
    <row r="45">
      <c r="A45" s="11" t="s">
        <v>65</v>
      </c>
      <c r="B45" s="12" t="s">
        <v>12</v>
      </c>
      <c r="C45" s="12" t="s">
        <v>13</v>
      </c>
      <c r="D45" s="12" t="s">
        <v>69</v>
      </c>
      <c r="E45" s="13">
        <v>52100.0</v>
      </c>
      <c r="F45" s="13">
        <v>145000.0</v>
      </c>
      <c r="G45" s="12" t="s">
        <v>15</v>
      </c>
      <c r="H45" s="14">
        <v>47.0</v>
      </c>
      <c r="I45" s="10">
        <f t="shared" si="1"/>
        <v>35.93103448</v>
      </c>
      <c r="J45" s="5" t="str">
        <f t="shared" si="2"/>
        <v/>
      </c>
      <c r="K45" s="5" t="str">
        <f t="shared" si="4"/>
        <v/>
      </c>
    </row>
    <row r="46">
      <c r="A46" s="6" t="s">
        <v>65</v>
      </c>
      <c r="B46" s="7" t="s">
        <v>12</v>
      </c>
      <c r="C46" s="7" t="s">
        <v>16</v>
      </c>
      <c r="D46" s="7" t="s">
        <v>70</v>
      </c>
      <c r="E46" s="8">
        <v>57321.0</v>
      </c>
      <c r="F46" s="8">
        <v>145000.0</v>
      </c>
      <c r="G46" s="7" t="s">
        <v>18</v>
      </c>
      <c r="H46" s="9">
        <v>36.0</v>
      </c>
      <c r="I46" s="10">
        <f t="shared" si="1"/>
        <v>39.53172414</v>
      </c>
      <c r="J46" s="5" t="str">
        <f t="shared" si="2"/>
        <v>Winner</v>
      </c>
      <c r="K46" s="5">
        <f>MIN(H6:H101)</f>
        <v>32</v>
      </c>
    </row>
    <row r="47">
      <c r="A47" s="11" t="s">
        <v>71</v>
      </c>
      <c r="B47" s="12" t="s">
        <v>12</v>
      </c>
      <c r="C47" s="12" t="s">
        <v>13</v>
      </c>
      <c r="D47" s="12" t="s">
        <v>72</v>
      </c>
      <c r="E47" s="13">
        <v>44210.0</v>
      </c>
      <c r="F47" s="13">
        <v>115000.0</v>
      </c>
      <c r="G47" s="12" t="s">
        <v>15</v>
      </c>
      <c r="H47" s="14">
        <v>49.0</v>
      </c>
      <c r="I47" s="10">
        <f t="shared" si="1"/>
        <v>38.44347826</v>
      </c>
      <c r="J47" s="5" t="str">
        <f t="shared" si="2"/>
        <v/>
      </c>
      <c r="K47" s="5" t="str">
        <f t="shared" ref="K47:K50" si="5">IF(E47=MAX(IF(A:A=A47,E:E)),"Winner","")</f>
        <v/>
      </c>
    </row>
    <row r="48">
      <c r="A48" s="6" t="s">
        <v>71</v>
      </c>
      <c r="B48" s="7" t="s">
        <v>12</v>
      </c>
      <c r="C48" s="7" t="s">
        <v>16</v>
      </c>
      <c r="D48" s="7" t="s">
        <v>73</v>
      </c>
      <c r="E48" s="8">
        <v>47234.0</v>
      </c>
      <c r="F48" s="8">
        <v>115000.0</v>
      </c>
      <c r="G48" s="7" t="s">
        <v>18</v>
      </c>
      <c r="H48" s="9">
        <v>35.0</v>
      </c>
      <c r="I48" s="10">
        <f t="shared" si="1"/>
        <v>41.07304348</v>
      </c>
      <c r="J48" s="5" t="str">
        <f t="shared" si="2"/>
        <v/>
      </c>
      <c r="K48" s="5" t="str">
        <f t="shared" si="5"/>
        <v/>
      </c>
    </row>
    <row r="49">
      <c r="A49" s="11" t="s">
        <v>71</v>
      </c>
      <c r="B49" s="12" t="s">
        <v>12</v>
      </c>
      <c r="C49" s="12" t="s">
        <v>19</v>
      </c>
      <c r="D49" s="12" t="s">
        <v>74</v>
      </c>
      <c r="E49" s="13">
        <v>25678.0</v>
      </c>
      <c r="F49" s="13">
        <v>115000.0</v>
      </c>
      <c r="G49" s="12" t="s">
        <v>15</v>
      </c>
      <c r="H49" s="14">
        <v>51.0</v>
      </c>
      <c r="I49" s="10">
        <f t="shared" si="1"/>
        <v>22.32869565</v>
      </c>
      <c r="J49" s="5" t="str">
        <f t="shared" si="2"/>
        <v/>
      </c>
      <c r="K49" s="5" t="str">
        <f t="shared" si="5"/>
        <v/>
      </c>
    </row>
    <row r="50">
      <c r="A50" s="6" t="s">
        <v>71</v>
      </c>
      <c r="B50" s="7" t="s">
        <v>12</v>
      </c>
      <c r="C50" s="7" t="s">
        <v>13</v>
      </c>
      <c r="D50" s="7" t="s">
        <v>75</v>
      </c>
      <c r="E50" s="8">
        <v>43100.0</v>
      </c>
      <c r="F50" s="8">
        <v>115000.0</v>
      </c>
      <c r="G50" s="7" t="s">
        <v>15</v>
      </c>
      <c r="H50" s="9">
        <v>46.0</v>
      </c>
      <c r="I50" s="10">
        <f t="shared" si="1"/>
        <v>37.47826087</v>
      </c>
      <c r="J50" s="5" t="str">
        <f t="shared" si="2"/>
        <v/>
      </c>
      <c r="K50" s="5" t="str">
        <f t="shared" si="5"/>
        <v/>
      </c>
    </row>
    <row r="51">
      <c r="A51" s="11" t="s">
        <v>71</v>
      </c>
      <c r="B51" s="12" t="s">
        <v>12</v>
      </c>
      <c r="C51" s="12" t="s">
        <v>16</v>
      </c>
      <c r="D51" s="12" t="s">
        <v>76</v>
      </c>
      <c r="E51" s="13">
        <v>48200.0</v>
      </c>
      <c r="F51" s="13">
        <v>115000.0</v>
      </c>
      <c r="G51" s="12" t="s">
        <v>18</v>
      </c>
      <c r="H51" s="14">
        <v>33.0</v>
      </c>
      <c r="I51" s="10">
        <f t="shared" si="1"/>
        <v>41.91304348</v>
      </c>
      <c r="J51" s="5" t="str">
        <f t="shared" si="2"/>
        <v>Winner</v>
      </c>
    </row>
    <row r="52">
      <c r="A52" s="6" t="s">
        <v>77</v>
      </c>
      <c r="B52" s="7" t="s">
        <v>12</v>
      </c>
      <c r="C52" s="7" t="s">
        <v>13</v>
      </c>
      <c r="D52" s="7" t="s">
        <v>78</v>
      </c>
      <c r="E52" s="8">
        <v>41200.0</v>
      </c>
      <c r="F52" s="8">
        <v>105000.0</v>
      </c>
      <c r="G52" s="7" t="s">
        <v>15</v>
      </c>
      <c r="H52" s="9">
        <v>45.0</v>
      </c>
      <c r="I52" s="10">
        <f t="shared" si="1"/>
        <v>39.23809524</v>
      </c>
      <c r="J52" s="5" t="str">
        <f t="shared" si="2"/>
        <v/>
      </c>
      <c r="K52" s="5" t="str">
        <f t="shared" ref="K52:K101" si="6">IF(E52=MAX(IF(A:A=A52,E:E)),"Winner","")</f>
        <v/>
      </c>
    </row>
    <row r="53">
      <c r="A53" s="11" t="s">
        <v>77</v>
      </c>
      <c r="B53" s="12" t="s">
        <v>12</v>
      </c>
      <c r="C53" s="12" t="s">
        <v>16</v>
      </c>
      <c r="D53" s="12" t="s">
        <v>79</v>
      </c>
      <c r="E53" s="13">
        <v>44210.0</v>
      </c>
      <c r="F53" s="13">
        <v>105000.0</v>
      </c>
      <c r="G53" s="12" t="s">
        <v>18</v>
      </c>
      <c r="H53" s="14">
        <v>34.0</v>
      </c>
      <c r="I53" s="10">
        <f t="shared" si="1"/>
        <v>42.1047619</v>
      </c>
      <c r="J53" s="5" t="str">
        <f t="shared" si="2"/>
        <v/>
      </c>
      <c r="K53" s="5" t="str">
        <f t="shared" si="6"/>
        <v/>
      </c>
    </row>
    <row r="54">
      <c r="A54" s="6" t="s">
        <v>77</v>
      </c>
      <c r="B54" s="7" t="s">
        <v>12</v>
      </c>
      <c r="C54" s="7" t="s">
        <v>19</v>
      </c>
      <c r="D54" s="7" t="s">
        <v>80</v>
      </c>
      <c r="E54" s="8">
        <v>22100.0</v>
      </c>
      <c r="F54" s="8">
        <v>105000.0</v>
      </c>
      <c r="G54" s="7" t="s">
        <v>15</v>
      </c>
      <c r="H54" s="9">
        <v>50.0</v>
      </c>
      <c r="I54" s="10">
        <f t="shared" si="1"/>
        <v>21.04761905</v>
      </c>
      <c r="J54" s="5" t="str">
        <f t="shared" si="2"/>
        <v/>
      </c>
      <c r="K54" s="5" t="str">
        <f t="shared" si="6"/>
        <v/>
      </c>
    </row>
    <row r="55">
      <c r="A55" s="11" t="s">
        <v>77</v>
      </c>
      <c r="B55" s="12" t="s">
        <v>12</v>
      </c>
      <c r="C55" s="12" t="s">
        <v>13</v>
      </c>
      <c r="D55" s="12" t="s">
        <v>81</v>
      </c>
      <c r="E55" s="13">
        <v>39800.0</v>
      </c>
      <c r="F55" s="13">
        <v>105000.0</v>
      </c>
      <c r="G55" s="12" t="s">
        <v>15</v>
      </c>
      <c r="H55" s="14">
        <v>47.0</v>
      </c>
      <c r="I55" s="10">
        <f t="shared" si="1"/>
        <v>37.9047619</v>
      </c>
      <c r="J55" s="5" t="str">
        <f t="shared" si="2"/>
        <v/>
      </c>
      <c r="K55" s="5" t="str">
        <f t="shared" si="6"/>
        <v/>
      </c>
    </row>
    <row r="56">
      <c r="A56" s="6" t="s">
        <v>77</v>
      </c>
      <c r="B56" s="7" t="s">
        <v>12</v>
      </c>
      <c r="C56" s="7" t="s">
        <v>16</v>
      </c>
      <c r="D56" s="7" t="s">
        <v>82</v>
      </c>
      <c r="E56" s="8">
        <v>45210.0</v>
      </c>
      <c r="F56" s="8">
        <v>105000.0</v>
      </c>
      <c r="G56" s="7" t="s">
        <v>18</v>
      </c>
      <c r="H56" s="9">
        <v>32.0</v>
      </c>
      <c r="I56" s="10">
        <f t="shared" si="1"/>
        <v>43.05714286</v>
      </c>
      <c r="J56" s="5" t="str">
        <f t="shared" si="2"/>
        <v>Winner</v>
      </c>
      <c r="K56" s="5" t="str">
        <f t="shared" si="6"/>
        <v/>
      </c>
    </row>
    <row r="57">
      <c r="A57" s="11" t="s">
        <v>83</v>
      </c>
      <c r="B57" s="12" t="s">
        <v>12</v>
      </c>
      <c r="C57" s="12" t="s">
        <v>13</v>
      </c>
      <c r="D57" s="12" t="s">
        <v>84</v>
      </c>
      <c r="E57" s="13">
        <v>50210.0</v>
      </c>
      <c r="F57" s="13">
        <v>135000.0</v>
      </c>
      <c r="G57" s="12" t="s">
        <v>15</v>
      </c>
      <c r="H57" s="14">
        <v>48.0</v>
      </c>
      <c r="I57" s="10">
        <f t="shared" si="1"/>
        <v>37.19259259</v>
      </c>
      <c r="J57" s="5" t="str">
        <f t="shared" si="2"/>
        <v/>
      </c>
      <c r="K57" s="5" t="str">
        <f t="shared" si="6"/>
        <v/>
      </c>
    </row>
    <row r="58">
      <c r="A58" s="6" t="s">
        <v>83</v>
      </c>
      <c r="B58" s="7" t="s">
        <v>12</v>
      </c>
      <c r="C58" s="7" t="s">
        <v>16</v>
      </c>
      <c r="D58" s="7" t="s">
        <v>85</v>
      </c>
      <c r="E58" s="8">
        <v>53210.0</v>
      </c>
      <c r="F58" s="8">
        <v>135000.0</v>
      </c>
      <c r="G58" s="7" t="s">
        <v>18</v>
      </c>
      <c r="H58" s="9">
        <v>36.0</v>
      </c>
      <c r="I58" s="10">
        <f t="shared" si="1"/>
        <v>39.41481481</v>
      </c>
      <c r="J58" s="5" t="str">
        <f t="shared" si="2"/>
        <v/>
      </c>
      <c r="K58" s="5" t="str">
        <f t="shared" si="6"/>
        <v/>
      </c>
    </row>
    <row r="59">
      <c r="A59" s="11" t="s">
        <v>83</v>
      </c>
      <c r="B59" s="12" t="s">
        <v>12</v>
      </c>
      <c r="C59" s="12" t="s">
        <v>19</v>
      </c>
      <c r="D59" s="12" t="s">
        <v>86</v>
      </c>
      <c r="E59" s="13">
        <v>28900.0</v>
      </c>
      <c r="F59" s="13">
        <v>135000.0</v>
      </c>
      <c r="G59" s="12" t="s">
        <v>15</v>
      </c>
      <c r="H59" s="14">
        <v>51.0</v>
      </c>
      <c r="I59" s="10">
        <f t="shared" si="1"/>
        <v>21.40740741</v>
      </c>
      <c r="J59" s="5" t="str">
        <f t="shared" si="2"/>
        <v/>
      </c>
      <c r="K59" s="5" t="str">
        <f t="shared" si="6"/>
        <v/>
      </c>
    </row>
    <row r="60">
      <c r="A60" s="6" t="s">
        <v>83</v>
      </c>
      <c r="B60" s="7" t="s">
        <v>12</v>
      </c>
      <c r="C60" s="7" t="s">
        <v>13</v>
      </c>
      <c r="D60" s="7" t="s">
        <v>87</v>
      </c>
      <c r="E60" s="8">
        <v>49100.0</v>
      </c>
      <c r="F60" s="8">
        <v>135000.0</v>
      </c>
      <c r="G60" s="7" t="s">
        <v>15</v>
      </c>
      <c r="H60" s="9">
        <v>46.0</v>
      </c>
      <c r="I60" s="10">
        <f t="shared" si="1"/>
        <v>36.37037037</v>
      </c>
      <c r="J60" s="5" t="str">
        <f t="shared" si="2"/>
        <v/>
      </c>
      <c r="K60" s="5" t="str">
        <f t="shared" si="6"/>
        <v/>
      </c>
    </row>
    <row r="61">
      <c r="A61" s="11" t="s">
        <v>83</v>
      </c>
      <c r="B61" s="12" t="s">
        <v>12</v>
      </c>
      <c r="C61" s="12" t="s">
        <v>16</v>
      </c>
      <c r="D61" s="12" t="s">
        <v>88</v>
      </c>
      <c r="E61" s="13">
        <v>54100.0</v>
      </c>
      <c r="F61" s="13">
        <v>135000.0</v>
      </c>
      <c r="G61" s="12" t="s">
        <v>18</v>
      </c>
      <c r="H61" s="14">
        <v>35.0</v>
      </c>
      <c r="I61" s="10">
        <f t="shared" si="1"/>
        <v>40.07407407</v>
      </c>
      <c r="J61" s="5" t="str">
        <f t="shared" si="2"/>
        <v>Winner</v>
      </c>
      <c r="K61" s="5" t="str">
        <f t="shared" si="6"/>
        <v/>
      </c>
    </row>
    <row r="62">
      <c r="A62" s="6" t="s">
        <v>89</v>
      </c>
      <c r="B62" s="7" t="s">
        <v>12</v>
      </c>
      <c r="C62" s="7" t="s">
        <v>13</v>
      </c>
      <c r="D62" s="7" t="s">
        <v>90</v>
      </c>
      <c r="E62" s="8">
        <v>43210.0</v>
      </c>
      <c r="F62" s="8">
        <v>120000.0</v>
      </c>
      <c r="G62" s="7" t="s">
        <v>15</v>
      </c>
      <c r="H62" s="9">
        <v>49.0</v>
      </c>
      <c r="I62" s="10">
        <f t="shared" si="1"/>
        <v>36.00833333</v>
      </c>
      <c r="J62" s="5" t="str">
        <f t="shared" si="2"/>
        <v/>
      </c>
      <c r="K62" s="5" t="str">
        <f t="shared" si="6"/>
        <v/>
      </c>
    </row>
    <row r="63">
      <c r="A63" s="11" t="s">
        <v>89</v>
      </c>
      <c r="B63" s="12" t="s">
        <v>12</v>
      </c>
      <c r="C63" s="12" t="s">
        <v>16</v>
      </c>
      <c r="D63" s="12" t="s">
        <v>91</v>
      </c>
      <c r="E63" s="13">
        <v>46210.0</v>
      </c>
      <c r="F63" s="13">
        <v>120000.0</v>
      </c>
      <c r="G63" s="12" t="s">
        <v>18</v>
      </c>
      <c r="H63" s="14">
        <v>34.0</v>
      </c>
      <c r="I63" s="10">
        <f t="shared" si="1"/>
        <v>38.50833333</v>
      </c>
      <c r="J63" s="5" t="str">
        <f t="shared" si="2"/>
        <v/>
      </c>
      <c r="K63" s="5" t="str">
        <f t="shared" si="6"/>
        <v/>
      </c>
    </row>
    <row r="64">
      <c r="A64" s="6" t="s">
        <v>89</v>
      </c>
      <c r="B64" s="7" t="s">
        <v>12</v>
      </c>
      <c r="C64" s="7" t="s">
        <v>19</v>
      </c>
      <c r="D64" s="7" t="s">
        <v>50</v>
      </c>
      <c r="E64" s="8">
        <v>24500.0</v>
      </c>
      <c r="F64" s="8">
        <v>120000.0</v>
      </c>
      <c r="G64" s="7" t="s">
        <v>15</v>
      </c>
      <c r="H64" s="9">
        <v>52.0</v>
      </c>
      <c r="I64" s="10">
        <f t="shared" si="1"/>
        <v>20.41666667</v>
      </c>
      <c r="J64" s="5" t="str">
        <f t="shared" si="2"/>
        <v/>
      </c>
      <c r="K64" s="5" t="str">
        <f t="shared" si="6"/>
        <v/>
      </c>
    </row>
    <row r="65">
      <c r="A65" s="11" t="s">
        <v>89</v>
      </c>
      <c r="B65" s="12" t="s">
        <v>12</v>
      </c>
      <c r="C65" s="12" t="s">
        <v>13</v>
      </c>
      <c r="D65" s="12" t="s">
        <v>92</v>
      </c>
      <c r="E65" s="13">
        <v>42100.0</v>
      </c>
      <c r="F65" s="13">
        <v>120000.0</v>
      </c>
      <c r="G65" s="12" t="s">
        <v>15</v>
      </c>
      <c r="H65" s="14">
        <v>47.0</v>
      </c>
      <c r="I65" s="10">
        <f t="shared" si="1"/>
        <v>35.08333333</v>
      </c>
      <c r="J65" s="5" t="str">
        <f t="shared" si="2"/>
        <v/>
      </c>
      <c r="K65" s="5" t="str">
        <f t="shared" si="6"/>
        <v/>
      </c>
    </row>
    <row r="66">
      <c r="A66" s="6" t="s">
        <v>89</v>
      </c>
      <c r="B66" s="7" t="s">
        <v>12</v>
      </c>
      <c r="C66" s="7" t="s">
        <v>16</v>
      </c>
      <c r="D66" s="7" t="s">
        <v>93</v>
      </c>
      <c r="E66" s="8">
        <v>47200.0</v>
      </c>
      <c r="F66" s="8">
        <v>120000.0</v>
      </c>
      <c r="G66" s="7" t="s">
        <v>18</v>
      </c>
      <c r="H66" s="9">
        <v>33.0</v>
      </c>
      <c r="I66" s="10">
        <f t="shared" si="1"/>
        <v>39.33333333</v>
      </c>
      <c r="J66" s="5" t="str">
        <f t="shared" si="2"/>
        <v>Winner</v>
      </c>
      <c r="K66" s="5" t="str">
        <f t="shared" si="6"/>
        <v/>
      </c>
    </row>
    <row r="67">
      <c r="A67" s="11" t="s">
        <v>94</v>
      </c>
      <c r="B67" s="12" t="s">
        <v>12</v>
      </c>
      <c r="C67" s="12" t="s">
        <v>13</v>
      </c>
      <c r="D67" s="12" t="s">
        <v>95</v>
      </c>
      <c r="E67" s="13">
        <v>51200.0</v>
      </c>
      <c r="F67" s="13">
        <v>140000.0</v>
      </c>
      <c r="G67" s="12" t="s">
        <v>15</v>
      </c>
      <c r="H67" s="14">
        <v>50.0</v>
      </c>
      <c r="I67" s="10">
        <f t="shared" si="1"/>
        <v>36.57142857</v>
      </c>
      <c r="J67" s="5" t="str">
        <f t="shared" si="2"/>
        <v/>
      </c>
      <c r="K67" s="5" t="str">
        <f t="shared" si="6"/>
        <v/>
      </c>
    </row>
    <row r="68">
      <c r="A68" s="6" t="s">
        <v>94</v>
      </c>
      <c r="B68" s="7" t="s">
        <v>12</v>
      </c>
      <c r="C68" s="7" t="s">
        <v>16</v>
      </c>
      <c r="D68" s="7" t="s">
        <v>96</v>
      </c>
      <c r="E68" s="8">
        <v>54200.0</v>
      </c>
      <c r="F68" s="8">
        <v>140000.0</v>
      </c>
      <c r="G68" s="7" t="s">
        <v>18</v>
      </c>
      <c r="H68" s="9">
        <v>37.0</v>
      </c>
      <c r="I68" s="10">
        <f t="shared" si="1"/>
        <v>38.71428571</v>
      </c>
      <c r="J68" s="5" t="str">
        <f t="shared" si="2"/>
        <v/>
      </c>
      <c r="K68" s="5" t="str">
        <f t="shared" si="6"/>
        <v/>
      </c>
    </row>
    <row r="69">
      <c r="A69" s="11" t="s">
        <v>94</v>
      </c>
      <c r="B69" s="12" t="s">
        <v>12</v>
      </c>
      <c r="C69" s="12" t="s">
        <v>19</v>
      </c>
      <c r="D69" s="12" t="s">
        <v>97</v>
      </c>
      <c r="E69" s="13">
        <v>27800.0</v>
      </c>
      <c r="F69" s="13">
        <v>140000.0</v>
      </c>
      <c r="G69" s="12" t="s">
        <v>15</v>
      </c>
      <c r="H69" s="14">
        <v>53.0</v>
      </c>
      <c r="I69" s="10">
        <f t="shared" si="1"/>
        <v>19.85714286</v>
      </c>
      <c r="J69" s="5" t="str">
        <f t="shared" si="2"/>
        <v/>
      </c>
      <c r="K69" s="5" t="str">
        <f t="shared" si="6"/>
        <v/>
      </c>
    </row>
    <row r="70">
      <c r="A70" s="6" t="s">
        <v>94</v>
      </c>
      <c r="B70" s="7" t="s">
        <v>12</v>
      </c>
      <c r="C70" s="7" t="s">
        <v>13</v>
      </c>
      <c r="D70" s="7" t="s">
        <v>98</v>
      </c>
      <c r="E70" s="8">
        <v>50100.0</v>
      </c>
      <c r="F70" s="8">
        <v>140000.0</v>
      </c>
      <c r="G70" s="7" t="s">
        <v>15</v>
      </c>
      <c r="H70" s="9">
        <v>48.0</v>
      </c>
      <c r="I70" s="10">
        <f t="shared" si="1"/>
        <v>35.78571429</v>
      </c>
      <c r="J70" s="5" t="str">
        <f t="shared" si="2"/>
        <v/>
      </c>
      <c r="K70" s="5" t="str">
        <f t="shared" si="6"/>
        <v/>
      </c>
    </row>
    <row r="71">
      <c r="A71" s="11" t="s">
        <v>94</v>
      </c>
      <c r="B71" s="12" t="s">
        <v>12</v>
      </c>
      <c r="C71" s="12" t="s">
        <v>16</v>
      </c>
      <c r="D71" s="12" t="s">
        <v>99</v>
      </c>
      <c r="E71" s="13">
        <v>55200.0</v>
      </c>
      <c r="F71" s="13">
        <v>140000.0</v>
      </c>
      <c r="G71" s="12" t="s">
        <v>18</v>
      </c>
      <c r="H71" s="14">
        <v>36.0</v>
      </c>
      <c r="I71" s="10">
        <f t="shared" si="1"/>
        <v>39.42857143</v>
      </c>
      <c r="J71" s="5" t="str">
        <f t="shared" si="2"/>
        <v>Winner</v>
      </c>
      <c r="K71" s="5" t="str">
        <f t="shared" si="6"/>
        <v/>
      </c>
    </row>
    <row r="72">
      <c r="A72" s="6" t="s">
        <v>100</v>
      </c>
      <c r="B72" s="7" t="s">
        <v>12</v>
      </c>
      <c r="C72" s="7" t="s">
        <v>13</v>
      </c>
      <c r="D72" s="7" t="s">
        <v>101</v>
      </c>
      <c r="E72" s="8">
        <v>39200.0</v>
      </c>
      <c r="F72" s="8">
        <v>100000.0</v>
      </c>
      <c r="G72" s="7" t="s">
        <v>15</v>
      </c>
      <c r="H72" s="9">
        <v>46.0</v>
      </c>
      <c r="I72" s="10">
        <f t="shared" si="1"/>
        <v>39.2</v>
      </c>
      <c r="J72" s="5" t="str">
        <f t="shared" si="2"/>
        <v/>
      </c>
      <c r="K72" s="5" t="str">
        <f t="shared" si="6"/>
        <v/>
      </c>
    </row>
    <row r="73">
      <c r="A73" s="11" t="s">
        <v>100</v>
      </c>
      <c r="B73" s="12" t="s">
        <v>12</v>
      </c>
      <c r="C73" s="12" t="s">
        <v>16</v>
      </c>
      <c r="D73" s="12" t="s">
        <v>102</v>
      </c>
      <c r="E73" s="13">
        <v>42200.0</v>
      </c>
      <c r="F73" s="13">
        <v>100000.0</v>
      </c>
      <c r="G73" s="12" t="s">
        <v>18</v>
      </c>
      <c r="H73" s="14">
        <v>35.0</v>
      </c>
      <c r="I73" s="10">
        <f t="shared" si="1"/>
        <v>42.2</v>
      </c>
      <c r="J73" s="5" t="str">
        <f t="shared" si="2"/>
        <v/>
      </c>
      <c r="K73" s="5" t="str">
        <f t="shared" si="6"/>
        <v/>
      </c>
    </row>
    <row r="74">
      <c r="A74" s="6" t="s">
        <v>100</v>
      </c>
      <c r="B74" s="7" t="s">
        <v>12</v>
      </c>
      <c r="C74" s="7" t="s">
        <v>19</v>
      </c>
      <c r="D74" s="7" t="s">
        <v>103</v>
      </c>
      <c r="E74" s="8">
        <v>21000.0</v>
      </c>
      <c r="F74" s="8">
        <v>100000.0</v>
      </c>
      <c r="G74" s="7" t="s">
        <v>15</v>
      </c>
      <c r="H74" s="9">
        <v>51.0</v>
      </c>
      <c r="I74" s="10">
        <f t="shared" si="1"/>
        <v>21</v>
      </c>
      <c r="J74" s="5" t="str">
        <f t="shared" si="2"/>
        <v/>
      </c>
      <c r="K74" s="5" t="str">
        <f t="shared" si="6"/>
        <v/>
      </c>
    </row>
    <row r="75">
      <c r="A75" s="11" t="s">
        <v>100</v>
      </c>
      <c r="B75" s="12" t="s">
        <v>12</v>
      </c>
      <c r="C75" s="12" t="s">
        <v>13</v>
      </c>
      <c r="D75" s="12" t="s">
        <v>104</v>
      </c>
      <c r="E75" s="13">
        <v>38100.0</v>
      </c>
      <c r="F75" s="13">
        <v>100000.0</v>
      </c>
      <c r="G75" s="12" t="s">
        <v>15</v>
      </c>
      <c r="H75" s="14">
        <v>47.0</v>
      </c>
      <c r="I75" s="10">
        <f t="shared" si="1"/>
        <v>38.1</v>
      </c>
      <c r="J75" s="5" t="str">
        <f t="shared" si="2"/>
        <v/>
      </c>
      <c r="K75" s="5" t="str">
        <f t="shared" si="6"/>
        <v/>
      </c>
    </row>
    <row r="76">
      <c r="A76" s="6" t="s">
        <v>100</v>
      </c>
      <c r="B76" s="7" t="s">
        <v>12</v>
      </c>
      <c r="C76" s="7" t="s">
        <v>16</v>
      </c>
      <c r="D76" s="7" t="s">
        <v>105</v>
      </c>
      <c r="E76" s="8">
        <v>43200.0</v>
      </c>
      <c r="F76" s="8">
        <v>100000.0</v>
      </c>
      <c r="G76" s="7" t="s">
        <v>18</v>
      </c>
      <c r="H76" s="9">
        <v>33.0</v>
      </c>
      <c r="I76" s="10">
        <f t="shared" si="1"/>
        <v>43.2</v>
      </c>
      <c r="J76" s="5" t="str">
        <f t="shared" si="2"/>
        <v>Winner</v>
      </c>
      <c r="K76" s="5" t="str">
        <f t="shared" si="6"/>
        <v/>
      </c>
    </row>
    <row r="77">
      <c r="A77" s="11" t="s">
        <v>106</v>
      </c>
      <c r="B77" s="12" t="s">
        <v>12</v>
      </c>
      <c r="C77" s="12" t="s">
        <v>13</v>
      </c>
      <c r="D77" s="12" t="s">
        <v>107</v>
      </c>
      <c r="E77" s="13">
        <v>51234.0</v>
      </c>
      <c r="F77" s="13">
        <v>140000.0</v>
      </c>
      <c r="G77" s="12" t="s">
        <v>15</v>
      </c>
      <c r="H77" s="14">
        <v>48.0</v>
      </c>
      <c r="I77" s="10">
        <f t="shared" si="1"/>
        <v>36.59571429</v>
      </c>
      <c r="J77" s="5" t="str">
        <f t="shared" si="2"/>
        <v/>
      </c>
      <c r="K77" s="5" t="str">
        <f t="shared" si="6"/>
        <v/>
      </c>
    </row>
    <row r="78">
      <c r="A78" s="6" t="s">
        <v>106</v>
      </c>
      <c r="B78" s="7" t="s">
        <v>12</v>
      </c>
      <c r="C78" s="7" t="s">
        <v>16</v>
      </c>
      <c r="D78" s="7" t="s">
        <v>108</v>
      </c>
      <c r="E78" s="8">
        <v>54210.0</v>
      </c>
      <c r="F78" s="8">
        <v>140000.0</v>
      </c>
      <c r="G78" s="7" t="s">
        <v>18</v>
      </c>
      <c r="H78" s="9">
        <v>35.0</v>
      </c>
      <c r="I78" s="10">
        <f t="shared" si="1"/>
        <v>38.72142857</v>
      </c>
      <c r="J78" s="5" t="str">
        <f t="shared" si="2"/>
        <v/>
      </c>
      <c r="K78" s="5" t="str">
        <f t="shared" si="6"/>
        <v/>
      </c>
    </row>
    <row r="79">
      <c r="A79" s="11" t="s">
        <v>106</v>
      </c>
      <c r="B79" s="12" t="s">
        <v>12</v>
      </c>
      <c r="C79" s="12" t="s">
        <v>19</v>
      </c>
      <c r="D79" s="12" t="s">
        <v>109</v>
      </c>
      <c r="E79" s="13">
        <v>27890.0</v>
      </c>
      <c r="F79" s="13">
        <v>140000.0</v>
      </c>
      <c r="G79" s="12" t="s">
        <v>15</v>
      </c>
      <c r="H79" s="14">
        <v>50.0</v>
      </c>
      <c r="I79" s="10">
        <f t="shared" si="1"/>
        <v>19.92142857</v>
      </c>
      <c r="J79" s="5" t="str">
        <f t="shared" si="2"/>
        <v/>
      </c>
      <c r="K79" s="5" t="str">
        <f t="shared" si="6"/>
        <v/>
      </c>
    </row>
    <row r="80">
      <c r="A80" s="6" t="s">
        <v>106</v>
      </c>
      <c r="B80" s="7" t="s">
        <v>12</v>
      </c>
      <c r="C80" s="7" t="s">
        <v>13</v>
      </c>
      <c r="D80" s="7" t="s">
        <v>110</v>
      </c>
      <c r="E80" s="8">
        <v>50120.0</v>
      </c>
      <c r="F80" s="8">
        <v>140000.0</v>
      </c>
      <c r="G80" s="7" t="s">
        <v>15</v>
      </c>
      <c r="H80" s="9">
        <v>46.0</v>
      </c>
      <c r="I80" s="10">
        <f t="shared" si="1"/>
        <v>35.8</v>
      </c>
      <c r="J80" s="5" t="str">
        <f t="shared" si="2"/>
        <v/>
      </c>
      <c r="K80" s="5" t="str">
        <f t="shared" si="6"/>
        <v/>
      </c>
    </row>
    <row r="81">
      <c r="A81" s="11" t="s">
        <v>106</v>
      </c>
      <c r="B81" s="12" t="s">
        <v>12</v>
      </c>
      <c r="C81" s="12" t="s">
        <v>16</v>
      </c>
      <c r="D81" s="12" t="s">
        <v>111</v>
      </c>
      <c r="E81" s="13">
        <v>55230.0</v>
      </c>
      <c r="F81" s="13">
        <v>140000.0</v>
      </c>
      <c r="G81" s="12" t="s">
        <v>18</v>
      </c>
      <c r="H81" s="14">
        <v>34.0</v>
      </c>
      <c r="I81" s="10">
        <f t="shared" si="1"/>
        <v>39.45</v>
      </c>
      <c r="J81" s="5" t="str">
        <f t="shared" si="2"/>
        <v>Winner</v>
      </c>
      <c r="K81" s="5" t="str">
        <f t="shared" si="6"/>
        <v/>
      </c>
    </row>
    <row r="82">
      <c r="A82" s="6" t="s">
        <v>112</v>
      </c>
      <c r="B82" s="7" t="s">
        <v>12</v>
      </c>
      <c r="C82" s="7" t="s">
        <v>13</v>
      </c>
      <c r="D82" s="7" t="s">
        <v>113</v>
      </c>
      <c r="E82" s="8">
        <v>62310.0</v>
      </c>
      <c r="F82" s="8">
        <v>155000.0</v>
      </c>
      <c r="G82" s="7" t="s">
        <v>15</v>
      </c>
      <c r="H82" s="9">
        <v>52.0</v>
      </c>
      <c r="I82" s="10">
        <f t="shared" si="1"/>
        <v>40.2</v>
      </c>
      <c r="J82" s="5" t="str">
        <f t="shared" si="2"/>
        <v/>
      </c>
      <c r="K82" s="5" t="str">
        <f t="shared" si="6"/>
        <v/>
      </c>
    </row>
    <row r="83">
      <c r="A83" s="11" t="s">
        <v>112</v>
      </c>
      <c r="B83" s="12" t="s">
        <v>12</v>
      </c>
      <c r="C83" s="12" t="s">
        <v>16</v>
      </c>
      <c r="D83" s="12" t="s">
        <v>114</v>
      </c>
      <c r="E83" s="13">
        <v>65120.0</v>
      </c>
      <c r="F83" s="13">
        <v>155000.0</v>
      </c>
      <c r="G83" s="12" t="s">
        <v>18</v>
      </c>
      <c r="H83" s="14">
        <v>38.0</v>
      </c>
      <c r="I83" s="10">
        <f t="shared" si="1"/>
        <v>42.01290323</v>
      </c>
      <c r="J83" s="5" t="str">
        <f t="shared" si="2"/>
        <v/>
      </c>
      <c r="K83" s="5" t="str">
        <f t="shared" si="6"/>
        <v/>
      </c>
    </row>
    <row r="84">
      <c r="A84" s="6" t="s">
        <v>112</v>
      </c>
      <c r="B84" s="7" t="s">
        <v>12</v>
      </c>
      <c r="C84" s="7" t="s">
        <v>19</v>
      </c>
      <c r="D84" s="7" t="s">
        <v>103</v>
      </c>
      <c r="E84" s="8">
        <v>33210.0</v>
      </c>
      <c r="F84" s="8">
        <v>155000.0</v>
      </c>
      <c r="G84" s="7" t="s">
        <v>15</v>
      </c>
      <c r="H84" s="9">
        <v>49.0</v>
      </c>
      <c r="I84" s="10">
        <f t="shared" si="1"/>
        <v>21.42580645</v>
      </c>
      <c r="J84" s="5" t="str">
        <f t="shared" si="2"/>
        <v/>
      </c>
      <c r="K84" s="5" t="str">
        <f t="shared" si="6"/>
        <v/>
      </c>
    </row>
    <row r="85">
      <c r="A85" s="11" t="s">
        <v>112</v>
      </c>
      <c r="B85" s="12" t="s">
        <v>12</v>
      </c>
      <c r="C85" s="12" t="s">
        <v>13</v>
      </c>
      <c r="D85" s="12" t="s">
        <v>78</v>
      </c>
      <c r="E85" s="13">
        <v>61200.0</v>
      </c>
      <c r="F85" s="13">
        <v>155000.0</v>
      </c>
      <c r="G85" s="12" t="s">
        <v>15</v>
      </c>
      <c r="H85" s="14">
        <v>47.0</v>
      </c>
      <c r="I85" s="10">
        <f t="shared" si="1"/>
        <v>39.48387097</v>
      </c>
      <c r="J85" s="5" t="str">
        <f t="shared" si="2"/>
        <v/>
      </c>
      <c r="K85" s="5" t="str">
        <f t="shared" si="6"/>
        <v/>
      </c>
    </row>
    <row r="86">
      <c r="A86" s="6" t="s">
        <v>112</v>
      </c>
      <c r="B86" s="7" t="s">
        <v>12</v>
      </c>
      <c r="C86" s="7" t="s">
        <v>16</v>
      </c>
      <c r="D86" s="7" t="s">
        <v>115</v>
      </c>
      <c r="E86" s="8">
        <v>66210.0</v>
      </c>
      <c r="F86" s="8">
        <v>155000.0</v>
      </c>
      <c r="G86" s="7" t="s">
        <v>18</v>
      </c>
      <c r="H86" s="9">
        <v>36.0</v>
      </c>
      <c r="I86" s="10">
        <f t="shared" si="1"/>
        <v>42.71612903</v>
      </c>
      <c r="J86" s="5" t="str">
        <f t="shared" si="2"/>
        <v>Winner</v>
      </c>
      <c r="K86" s="5" t="str">
        <f t="shared" si="6"/>
        <v/>
      </c>
    </row>
    <row r="87">
      <c r="A87" s="11" t="s">
        <v>116</v>
      </c>
      <c r="B87" s="12" t="s">
        <v>12</v>
      </c>
      <c r="C87" s="12" t="s">
        <v>13</v>
      </c>
      <c r="D87" s="12" t="s">
        <v>117</v>
      </c>
      <c r="E87" s="13">
        <v>45210.0</v>
      </c>
      <c r="F87" s="13">
        <v>120000.0</v>
      </c>
      <c r="G87" s="12" t="s">
        <v>15</v>
      </c>
      <c r="H87" s="14">
        <v>45.0</v>
      </c>
      <c r="I87" s="10">
        <f t="shared" si="1"/>
        <v>37.675</v>
      </c>
      <c r="J87" s="5" t="str">
        <f t="shared" si="2"/>
        <v/>
      </c>
      <c r="K87" s="5" t="str">
        <f t="shared" si="6"/>
        <v/>
      </c>
    </row>
    <row r="88">
      <c r="A88" s="6" t="s">
        <v>116</v>
      </c>
      <c r="B88" s="7" t="s">
        <v>12</v>
      </c>
      <c r="C88" s="7" t="s">
        <v>16</v>
      </c>
      <c r="D88" s="7" t="s">
        <v>118</v>
      </c>
      <c r="E88" s="8">
        <v>48234.0</v>
      </c>
      <c r="F88" s="8">
        <v>120000.0</v>
      </c>
      <c r="G88" s="7" t="s">
        <v>18</v>
      </c>
      <c r="H88" s="9">
        <v>33.0</v>
      </c>
      <c r="I88" s="10">
        <f t="shared" si="1"/>
        <v>40.195</v>
      </c>
      <c r="J88" s="5" t="str">
        <f t="shared" si="2"/>
        <v/>
      </c>
      <c r="K88" s="5" t="str">
        <f t="shared" si="6"/>
        <v/>
      </c>
    </row>
    <row r="89">
      <c r="A89" s="11" t="s">
        <v>116</v>
      </c>
      <c r="B89" s="12" t="s">
        <v>12</v>
      </c>
      <c r="C89" s="12" t="s">
        <v>19</v>
      </c>
      <c r="D89" s="12" t="s">
        <v>119</v>
      </c>
      <c r="E89" s="13">
        <v>25100.0</v>
      </c>
      <c r="F89" s="13">
        <v>120000.0</v>
      </c>
      <c r="G89" s="12" t="s">
        <v>15</v>
      </c>
      <c r="H89" s="14">
        <v>50.0</v>
      </c>
      <c r="I89" s="10">
        <f t="shared" si="1"/>
        <v>20.91666667</v>
      </c>
      <c r="J89" s="5" t="str">
        <f t="shared" si="2"/>
        <v/>
      </c>
      <c r="K89" s="5" t="str">
        <f t="shared" si="6"/>
        <v/>
      </c>
    </row>
    <row r="90">
      <c r="A90" s="6" t="s">
        <v>116</v>
      </c>
      <c r="B90" s="7" t="s">
        <v>12</v>
      </c>
      <c r="C90" s="7" t="s">
        <v>13</v>
      </c>
      <c r="D90" s="7" t="s">
        <v>33</v>
      </c>
      <c r="E90" s="8">
        <v>44120.0</v>
      </c>
      <c r="F90" s="8">
        <v>120000.0</v>
      </c>
      <c r="G90" s="7" t="s">
        <v>15</v>
      </c>
      <c r="H90" s="9">
        <v>46.0</v>
      </c>
      <c r="I90" s="10">
        <f t="shared" si="1"/>
        <v>36.76666667</v>
      </c>
      <c r="J90" s="5" t="str">
        <f t="shared" si="2"/>
        <v/>
      </c>
      <c r="K90" s="5" t="str">
        <f t="shared" si="6"/>
        <v/>
      </c>
    </row>
    <row r="91">
      <c r="A91" s="11" t="s">
        <v>116</v>
      </c>
      <c r="B91" s="12" t="s">
        <v>12</v>
      </c>
      <c r="C91" s="12" t="s">
        <v>16</v>
      </c>
      <c r="D91" s="12" t="s">
        <v>120</v>
      </c>
      <c r="E91" s="13">
        <v>49210.0</v>
      </c>
      <c r="F91" s="13">
        <v>120000.0</v>
      </c>
      <c r="G91" s="12" t="s">
        <v>18</v>
      </c>
      <c r="H91" s="14">
        <v>34.0</v>
      </c>
      <c r="I91" s="10">
        <f t="shared" si="1"/>
        <v>41.00833333</v>
      </c>
      <c r="J91" s="5" t="str">
        <f t="shared" si="2"/>
        <v>Winner</v>
      </c>
      <c r="K91" s="5" t="str">
        <f t="shared" si="6"/>
        <v/>
      </c>
    </row>
    <row r="92">
      <c r="A92" s="6" t="s">
        <v>121</v>
      </c>
      <c r="B92" s="7" t="s">
        <v>12</v>
      </c>
      <c r="C92" s="7" t="s">
        <v>13</v>
      </c>
      <c r="D92" s="7" t="s">
        <v>122</v>
      </c>
      <c r="E92" s="8">
        <v>53210.0</v>
      </c>
      <c r="F92" s="8">
        <v>145000.0</v>
      </c>
      <c r="G92" s="7" t="s">
        <v>15</v>
      </c>
      <c r="H92" s="9">
        <v>49.0</v>
      </c>
      <c r="I92" s="10">
        <f t="shared" si="1"/>
        <v>36.69655172</v>
      </c>
      <c r="J92" s="5" t="str">
        <f t="shared" si="2"/>
        <v/>
      </c>
      <c r="K92" s="5" t="str">
        <f t="shared" si="6"/>
        <v/>
      </c>
    </row>
    <row r="93">
      <c r="A93" s="11" t="s">
        <v>121</v>
      </c>
      <c r="B93" s="12" t="s">
        <v>12</v>
      </c>
      <c r="C93" s="12" t="s">
        <v>16</v>
      </c>
      <c r="D93" s="12" t="s">
        <v>105</v>
      </c>
      <c r="E93" s="13">
        <v>56230.0</v>
      </c>
      <c r="F93" s="13">
        <v>145000.0</v>
      </c>
      <c r="G93" s="12" t="s">
        <v>18</v>
      </c>
      <c r="H93" s="14">
        <v>36.0</v>
      </c>
      <c r="I93" s="10">
        <f t="shared" si="1"/>
        <v>38.77931034</v>
      </c>
      <c r="J93" s="5" t="str">
        <f t="shared" si="2"/>
        <v/>
      </c>
      <c r="K93" s="5" t="str">
        <f t="shared" si="6"/>
        <v/>
      </c>
    </row>
    <row r="94">
      <c r="A94" s="6" t="s">
        <v>121</v>
      </c>
      <c r="B94" s="7" t="s">
        <v>12</v>
      </c>
      <c r="C94" s="7" t="s">
        <v>19</v>
      </c>
      <c r="D94" s="7" t="s">
        <v>123</v>
      </c>
      <c r="E94" s="8">
        <v>30120.0</v>
      </c>
      <c r="F94" s="8">
        <v>145000.0</v>
      </c>
      <c r="G94" s="7" t="s">
        <v>15</v>
      </c>
      <c r="H94" s="9">
        <v>51.0</v>
      </c>
      <c r="I94" s="10">
        <f t="shared" si="1"/>
        <v>20.77241379</v>
      </c>
      <c r="J94" s="5" t="str">
        <f t="shared" si="2"/>
        <v/>
      </c>
      <c r="K94" s="5" t="str">
        <f t="shared" si="6"/>
        <v/>
      </c>
    </row>
    <row r="95">
      <c r="A95" s="11" t="s">
        <v>121</v>
      </c>
      <c r="B95" s="12" t="s">
        <v>12</v>
      </c>
      <c r="C95" s="12" t="s">
        <v>13</v>
      </c>
      <c r="D95" s="12" t="s">
        <v>124</v>
      </c>
      <c r="E95" s="13">
        <v>52100.0</v>
      </c>
      <c r="F95" s="13">
        <v>145000.0</v>
      </c>
      <c r="G95" s="12" t="s">
        <v>15</v>
      </c>
      <c r="H95" s="14">
        <v>47.0</v>
      </c>
      <c r="I95" s="10">
        <f t="shared" si="1"/>
        <v>35.93103448</v>
      </c>
      <c r="J95" s="5" t="str">
        <f t="shared" si="2"/>
        <v/>
      </c>
      <c r="K95" s="5" t="str">
        <f t="shared" si="6"/>
        <v/>
      </c>
    </row>
    <row r="96">
      <c r="A96" s="6" t="s">
        <v>121</v>
      </c>
      <c r="B96" s="7" t="s">
        <v>12</v>
      </c>
      <c r="C96" s="7" t="s">
        <v>16</v>
      </c>
      <c r="D96" s="7" t="s">
        <v>125</v>
      </c>
      <c r="E96" s="8">
        <v>57210.0</v>
      </c>
      <c r="F96" s="8">
        <v>145000.0</v>
      </c>
      <c r="G96" s="7" t="s">
        <v>18</v>
      </c>
      <c r="H96" s="9">
        <v>35.0</v>
      </c>
      <c r="I96" s="10">
        <f t="shared" si="1"/>
        <v>39.45517241</v>
      </c>
      <c r="J96" s="5" t="str">
        <f t="shared" si="2"/>
        <v>Winner</v>
      </c>
      <c r="K96" s="5" t="str">
        <f t="shared" si="6"/>
        <v/>
      </c>
    </row>
    <row r="97">
      <c r="A97" s="11" t="s">
        <v>126</v>
      </c>
      <c r="B97" s="12" t="s">
        <v>12</v>
      </c>
      <c r="C97" s="12" t="s">
        <v>13</v>
      </c>
      <c r="D97" s="12" t="s">
        <v>127</v>
      </c>
      <c r="E97" s="13">
        <v>43120.0</v>
      </c>
      <c r="F97" s="13">
        <v>115000.0</v>
      </c>
      <c r="G97" s="12" t="s">
        <v>15</v>
      </c>
      <c r="H97" s="14">
        <v>48.0</v>
      </c>
      <c r="I97" s="10">
        <f t="shared" si="1"/>
        <v>37.49565217</v>
      </c>
      <c r="J97" s="5" t="str">
        <f t="shared" si="2"/>
        <v/>
      </c>
      <c r="K97" s="5" t="str">
        <f t="shared" si="6"/>
        <v/>
      </c>
    </row>
    <row r="98">
      <c r="A98" s="6" t="s">
        <v>126</v>
      </c>
      <c r="B98" s="7" t="s">
        <v>12</v>
      </c>
      <c r="C98" s="7" t="s">
        <v>16</v>
      </c>
      <c r="D98" s="7" t="s">
        <v>128</v>
      </c>
      <c r="E98" s="8">
        <v>46210.0</v>
      </c>
      <c r="F98" s="8">
        <v>115000.0</v>
      </c>
      <c r="G98" s="7" t="s">
        <v>18</v>
      </c>
      <c r="H98" s="9">
        <v>34.0</v>
      </c>
      <c r="I98" s="10">
        <f t="shared" si="1"/>
        <v>40.1826087</v>
      </c>
      <c r="J98" s="5" t="str">
        <f t="shared" si="2"/>
        <v/>
      </c>
      <c r="K98" s="5" t="str">
        <f t="shared" si="6"/>
        <v/>
      </c>
    </row>
    <row r="99">
      <c r="A99" s="11" t="s">
        <v>126</v>
      </c>
      <c r="B99" s="12" t="s">
        <v>12</v>
      </c>
      <c r="C99" s="12" t="s">
        <v>19</v>
      </c>
      <c r="D99" s="12" t="s">
        <v>129</v>
      </c>
      <c r="E99" s="13">
        <v>24560.0</v>
      </c>
      <c r="F99" s="13">
        <v>115000.0</v>
      </c>
      <c r="G99" s="12" t="s">
        <v>15</v>
      </c>
      <c r="H99" s="14">
        <v>50.0</v>
      </c>
      <c r="I99" s="10">
        <f t="shared" si="1"/>
        <v>21.35652174</v>
      </c>
      <c r="J99" s="5" t="str">
        <f t="shared" si="2"/>
        <v/>
      </c>
      <c r="K99" s="5" t="str">
        <f t="shared" si="6"/>
        <v/>
      </c>
    </row>
    <row r="100">
      <c r="A100" s="6" t="s">
        <v>126</v>
      </c>
      <c r="B100" s="7" t="s">
        <v>12</v>
      </c>
      <c r="C100" s="7" t="s">
        <v>13</v>
      </c>
      <c r="D100" s="7" t="s">
        <v>130</v>
      </c>
      <c r="E100" s="8">
        <v>42100.0</v>
      </c>
      <c r="F100" s="8">
        <v>115000.0</v>
      </c>
      <c r="G100" s="7" t="s">
        <v>15</v>
      </c>
      <c r="H100" s="9">
        <v>46.0</v>
      </c>
      <c r="I100" s="10">
        <f t="shared" si="1"/>
        <v>36.60869565</v>
      </c>
      <c r="J100" s="5" t="str">
        <f t="shared" si="2"/>
        <v/>
      </c>
      <c r="K100" s="5" t="str">
        <f t="shared" si="6"/>
        <v/>
      </c>
    </row>
    <row r="101">
      <c r="A101" s="11" t="s">
        <v>126</v>
      </c>
      <c r="B101" s="12" t="s">
        <v>12</v>
      </c>
      <c r="C101" s="12" t="s">
        <v>16</v>
      </c>
      <c r="D101" s="12" t="s">
        <v>102</v>
      </c>
      <c r="E101" s="13">
        <v>47200.0</v>
      </c>
      <c r="F101" s="13">
        <v>115000.0</v>
      </c>
      <c r="G101" s="12" t="s">
        <v>18</v>
      </c>
      <c r="H101" s="14">
        <v>33.0</v>
      </c>
      <c r="I101" s="10">
        <f t="shared" si="1"/>
        <v>41.04347826</v>
      </c>
      <c r="J101" s="5" t="str">
        <f t="shared" si="2"/>
        <v>Winner</v>
      </c>
      <c r="K101" s="5" t="str">
        <f t="shared" si="6"/>
        <v/>
      </c>
    </row>
    <row r="102">
      <c r="I102" s="10"/>
    </row>
    <row r="103">
      <c r="I103" s="10"/>
    </row>
    <row r="104">
      <c r="I104" s="10"/>
    </row>
    <row r="105">
      <c r="I105" s="10"/>
    </row>
    <row r="106">
      <c r="I106" s="10"/>
    </row>
    <row r="107">
      <c r="I107" s="10"/>
    </row>
    <row r="108">
      <c r="I108" s="10"/>
    </row>
    <row r="109">
      <c r="I109" s="10"/>
    </row>
    <row r="110">
      <c r="I110" s="10"/>
    </row>
    <row r="111">
      <c r="I111" s="10"/>
    </row>
    <row r="112">
      <c r="I112" s="10"/>
    </row>
    <row r="113">
      <c r="I113" s="10"/>
    </row>
    <row r="114">
      <c r="I114" s="10"/>
    </row>
    <row r="115">
      <c r="I115" s="10"/>
    </row>
    <row r="116">
      <c r="I116" s="10"/>
    </row>
    <row r="117">
      <c r="I117" s="10"/>
    </row>
    <row r="118">
      <c r="I118" s="10"/>
    </row>
    <row r="119">
      <c r="I119" s="10"/>
    </row>
    <row r="120">
      <c r="I120" s="10"/>
    </row>
    <row r="121">
      <c r="I121" s="10"/>
    </row>
    <row r="122">
      <c r="I122" s="10"/>
    </row>
    <row r="123">
      <c r="I123" s="10"/>
    </row>
    <row r="124">
      <c r="I124" s="10"/>
    </row>
    <row r="125">
      <c r="I125" s="10"/>
    </row>
    <row r="126">
      <c r="I126" s="10"/>
    </row>
    <row r="127">
      <c r="I127" s="10"/>
    </row>
    <row r="128">
      <c r="I128" s="10"/>
    </row>
    <row r="129">
      <c r="I129" s="10"/>
    </row>
    <row r="130">
      <c r="I130" s="10"/>
    </row>
    <row r="131">
      <c r="I131" s="10"/>
    </row>
    <row r="132">
      <c r="I132" s="10"/>
    </row>
    <row r="133">
      <c r="I133" s="10"/>
    </row>
    <row r="134">
      <c r="I134" s="10"/>
    </row>
    <row r="135">
      <c r="I135" s="10"/>
    </row>
    <row r="136">
      <c r="I136" s="10"/>
    </row>
    <row r="137">
      <c r="I137" s="10"/>
    </row>
    <row r="138">
      <c r="I138" s="10"/>
    </row>
    <row r="139">
      <c r="I139" s="10"/>
    </row>
    <row r="140">
      <c r="I140" s="10"/>
    </row>
    <row r="141">
      <c r="I141" s="10"/>
    </row>
    <row r="142">
      <c r="I142" s="10"/>
    </row>
    <row r="143">
      <c r="I143" s="10"/>
    </row>
    <row r="144">
      <c r="I144" s="10"/>
    </row>
    <row r="145">
      <c r="I145" s="10"/>
    </row>
    <row r="146">
      <c r="I146" s="10"/>
    </row>
    <row r="147">
      <c r="I147" s="10"/>
    </row>
    <row r="148">
      <c r="I148" s="10"/>
    </row>
    <row r="149">
      <c r="I149" s="10"/>
    </row>
    <row r="150">
      <c r="I150" s="10"/>
    </row>
    <row r="151">
      <c r="I151" s="10"/>
    </row>
    <row r="152">
      <c r="I152" s="10"/>
    </row>
    <row r="153">
      <c r="I153" s="10"/>
    </row>
    <row r="154">
      <c r="I154" s="10"/>
    </row>
    <row r="155">
      <c r="I155" s="10"/>
    </row>
    <row r="156">
      <c r="I156" s="10"/>
    </row>
    <row r="157">
      <c r="I157" s="10"/>
    </row>
    <row r="158">
      <c r="I158" s="10"/>
    </row>
    <row r="159">
      <c r="I159" s="10"/>
    </row>
    <row r="160">
      <c r="I160" s="10"/>
    </row>
    <row r="161">
      <c r="I161" s="10"/>
    </row>
    <row r="162">
      <c r="I162" s="10"/>
    </row>
    <row r="163">
      <c r="I163" s="10"/>
    </row>
    <row r="164">
      <c r="I164" s="10"/>
    </row>
    <row r="165">
      <c r="I165" s="10"/>
    </row>
    <row r="166">
      <c r="I166" s="10"/>
    </row>
    <row r="167">
      <c r="I167" s="10"/>
    </row>
    <row r="168">
      <c r="I168" s="10"/>
    </row>
    <row r="169">
      <c r="I169" s="10"/>
    </row>
    <row r="170">
      <c r="I170" s="10"/>
    </row>
    <row r="171">
      <c r="I171" s="10"/>
    </row>
    <row r="172">
      <c r="I172" s="10"/>
    </row>
    <row r="173">
      <c r="I173" s="10"/>
    </row>
    <row r="174">
      <c r="I174" s="10"/>
    </row>
    <row r="175">
      <c r="I175" s="10"/>
    </row>
    <row r="176">
      <c r="I176" s="10"/>
    </row>
    <row r="177">
      <c r="I177" s="10"/>
    </row>
    <row r="178">
      <c r="I178" s="10"/>
    </row>
    <row r="179">
      <c r="I179" s="10"/>
    </row>
    <row r="180">
      <c r="I180" s="10"/>
    </row>
    <row r="181">
      <c r="I181" s="10"/>
    </row>
    <row r="182">
      <c r="I182" s="10"/>
    </row>
    <row r="183">
      <c r="I183" s="10"/>
    </row>
    <row r="184">
      <c r="I184" s="10"/>
    </row>
    <row r="185">
      <c r="I185" s="10"/>
    </row>
    <row r="186">
      <c r="I186" s="10"/>
    </row>
    <row r="187">
      <c r="I187" s="10"/>
    </row>
    <row r="188">
      <c r="I188" s="10"/>
    </row>
    <row r="189">
      <c r="I189" s="10"/>
    </row>
    <row r="190">
      <c r="I190" s="10"/>
    </row>
    <row r="191">
      <c r="I191" s="10"/>
    </row>
    <row r="192">
      <c r="I192" s="10"/>
    </row>
    <row r="193">
      <c r="I193" s="10"/>
    </row>
    <row r="194">
      <c r="I194" s="10"/>
    </row>
    <row r="195">
      <c r="I195" s="10"/>
    </row>
    <row r="196">
      <c r="I196" s="10"/>
    </row>
    <row r="197">
      <c r="I197" s="10"/>
    </row>
    <row r="198">
      <c r="I198" s="10"/>
    </row>
    <row r="199">
      <c r="I199" s="10"/>
    </row>
    <row r="200">
      <c r="I200" s="10"/>
    </row>
    <row r="201">
      <c r="I201" s="10"/>
    </row>
    <row r="202">
      <c r="I202" s="10"/>
    </row>
    <row r="203">
      <c r="I203" s="10"/>
    </row>
    <row r="204">
      <c r="I204" s="10"/>
    </row>
    <row r="205">
      <c r="I205" s="10"/>
    </row>
    <row r="206">
      <c r="I206" s="10"/>
    </row>
    <row r="207">
      <c r="I207" s="10"/>
    </row>
    <row r="208">
      <c r="I208" s="10"/>
    </row>
    <row r="209">
      <c r="I209" s="10"/>
    </row>
    <row r="210">
      <c r="I210" s="10"/>
    </row>
    <row r="211">
      <c r="I211" s="10"/>
    </row>
    <row r="212">
      <c r="I212" s="10"/>
    </row>
    <row r="213">
      <c r="I213" s="10"/>
    </row>
    <row r="214">
      <c r="I214" s="10"/>
    </row>
    <row r="215">
      <c r="I215" s="10"/>
    </row>
    <row r="216">
      <c r="I216" s="10"/>
    </row>
    <row r="217">
      <c r="I217" s="10"/>
    </row>
    <row r="218">
      <c r="I218" s="10"/>
    </row>
    <row r="219">
      <c r="I219" s="10"/>
    </row>
    <row r="220">
      <c r="I220" s="10"/>
    </row>
    <row r="221">
      <c r="I221" s="10"/>
    </row>
    <row r="222">
      <c r="I222" s="10"/>
    </row>
    <row r="223">
      <c r="I223" s="10"/>
    </row>
    <row r="224">
      <c r="I224" s="10"/>
    </row>
    <row r="225">
      <c r="I225" s="10"/>
    </row>
    <row r="226">
      <c r="I226" s="10"/>
    </row>
    <row r="227">
      <c r="I227" s="10"/>
    </row>
    <row r="228">
      <c r="I228" s="10"/>
    </row>
    <row r="229">
      <c r="I229" s="10"/>
    </row>
    <row r="230">
      <c r="I230" s="10"/>
    </row>
    <row r="231">
      <c r="I231" s="10"/>
    </row>
    <row r="232">
      <c r="I232" s="10"/>
    </row>
    <row r="233">
      <c r="I233" s="10"/>
    </row>
    <row r="234">
      <c r="I234" s="10"/>
    </row>
    <row r="235">
      <c r="I235" s="10"/>
    </row>
    <row r="236">
      <c r="I236" s="10"/>
    </row>
    <row r="237">
      <c r="I237" s="10"/>
    </row>
    <row r="238">
      <c r="I238" s="10"/>
    </row>
    <row r="239">
      <c r="I239" s="10"/>
    </row>
    <row r="240">
      <c r="I240" s="10"/>
    </row>
    <row r="241">
      <c r="I241" s="10"/>
    </row>
    <row r="242">
      <c r="I242" s="10"/>
    </row>
    <row r="243">
      <c r="I243" s="10"/>
    </row>
    <row r="244">
      <c r="I244" s="10"/>
    </row>
    <row r="245">
      <c r="I245" s="10"/>
    </row>
    <row r="246">
      <c r="I246" s="10"/>
    </row>
    <row r="247">
      <c r="I247" s="10"/>
    </row>
    <row r="248">
      <c r="I248" s="10"/>
    </row>
    <row r="249">
      <c r="I249" s="10"/>
    </row>
    <row r="250">
      <c r="I250" s="10"/>
    </row>
    <row r="251">
      <c r="I251" s="10"/>
    </row>
    <row r="252">
      <c r="I252" s="10"/>
    </row>
    <row r="253">
      <c r="I253" s="10"/>
    </row>
    <row r="254">
      <c r="I254" s="10"/>
    </row>
    <row r="255">
      <c r="I255" s="10"/>
    </row>
    <row r="256">
      <c r="I256" s="10"/>
    </row>
    <row r="257">
      <c r="I257" s="10"/>
    </row>
    <row r="258">
      <c r="I258" s="10"/>
    </row>
    <row r="259">
      <c r="I259" s="10"/>
    </row>
    <row r="260">
      <c r="I260" s="10"/>
    </row>
    <row r="261">
      <c r="I261" s="10"/>
    </row>
    <row r="262">
      <c r="I262" s="10"/>
    </row>
    <row r="263">
      <c r="I263" s="10"/>
    </row>
    <row r="264">
      <c r="I264" s="10"/>
    </row>
    <row r="265">
      <c r="I265" s="10"/>
    </row>
    <row r="266">
      <c r="I266" s="10"/>
    </row>
    <row r="267">
      <c r="I267" s="10"/>
    </row>
    <row r="268">
      <c r="I268" s="10"/>
    </row>
    <row r="269">
      <c r="I269" s="10"/>
    </row>
    <row r="270">
      <c r="I270" s="10"/>
    </row>
    <row r="271">
      <c r="I271" s="10"/>
    </row>
    <row r="272">
      <c r="I272" s="10"/>
    </row>
    <row r="273">
      <c r="I273" s="10"/>
    </row>
    <row r="274">
      <c r="I274" s="10"/>
    </row>
    <row r="275">
      <c r="I275" s="10"/>
    </row>
    <row r="276">
      <c r="I276" s="10"/>
    </row>
    <row r="277">
      <c r="I277" s="10"/>
    </row>
    <row r="278">
      <c r="I278" s="10"/>
    </row>
    <row r="279">
      <c r="I279" s="10"/>
    </row>
    <row r="280">
      <c r="I280" s="10"/>
    </row>
    <row r="281">
      <c r="I281" s="10"/>
    </row>
    <row r="282">
      <c r="I282" s="10"/>
    </row>
    <row r="283">
      <c r="I283" s="10"/>
    </row>
    <row r="284">
      <c r="I284" s="10"/>
    </row>
    <row r="285">
      <c r="I285" s="10"/>
    </row>
    <row r="286">
      <c r="I286" s="10"/>
    </row>
    <row r="287">
      <c r="I287" s="10"/>
    </row>
    <row r="288">
      <c r="I288" s="10"/>
    </row>
    <row r="289">
      <c r="I289" s="10"/>
    </row>
    <row r="290">
      <c r="I290" s="10"/>
    </row>
    <row r="291">
      <c r="I291" s="10"/>
    </row>
    <row r="292">
      <c r="I292" s="10"/>
    </row>
    <row r="293">
      <c r="I293" s="10"/>
    </row>
    <row r="294">
      <c r="I294" s="10"/>
    </row>
    <row r="295">
      <c r="I295" s="10"/>
    </row>
    <row r="296">
      <c r="I296" s="10"/>
    </row>
    <row r="297">
      <c r="I297" s="10"/>
    </row>
    <row r="298">
      <c r="I298" s="10"/>
    </row>
    <row r="299">
      <c r="I299" s="10"/>
    </row>
    <row r="300">
      <c r="I300" s="10"/>
    </row>
    <row r="301">
      <c r="I301" s="10"/>
    </row>
    <row r="302">
      <c r="I302" s="10"/>
    </row>
    <row r="303">
      <c r="I303" s="10"/>
    </row>
    <row r="304">
      <c r="I304" s="10"/>
    </row>
    <row r="305">
      <c r="I305" s="10"/>
    </row>
    <row r="306">
      <c r="I306" s="10"/>
    </row>
    <row r="307">
      <c r="I307" s="10"/>
    </row>
    <row r="308">
      <c r="I308" s="10"/>
    </row>
    <row r="309">
      <c r="I309" s="10"/>
    </row>
    <row r="310">
      <c r="I310" s="10"/>
    </row>
    <row r="311">
      <c r="I311" s="10"/>
    </row>
    <row r="312">
      <c r="I312" s="10"/>
    </row>
    <row r="313">
      <c r="I313" s="10"/>
    </row>
    <row r="314">
      <c r="I314" s="10"/>
    </row>
    <row r="315">
      <c r="I315" s="10"/>
    </row>
    <row r="316">
      <c r="I316" s="10"/>
    </row>
    <row r="317">
      <c r="I317" s="10"/>
    </row>
    <row r="318">
      <c r="I318" s="10"/>
    </row>
    <row r="319">
      <c r="I319" s="10"/>
    </row>
    <row r="320">
      <c r="I320" s="10"/>
    </row>
    <row r="321">
      <c r="I321" s="10"/>
    </row>
    <row r="322">
      <c r="I322" s="10"/>
    </row>
    <row r="323">
      <c r="I323" s="10"/>
    </row>
    <row r="324">
      <c r="I324" s="10"/>
    </row>
    <row r="325">
      <c r="I325" s="10"/>
    </row>
    <row r="326">
      <c r="I326" s="10"/>
    </row>
    <row r="327">
      <c r="I327" s="10"/>
    </row>
    <row r="328">
      <c r="I328" s="10"/>
    </row>
    <row r="329">
      <c r="I329" s="10"/>
    </row>
    <row r="330">
      <c r="I330" s="10"/>
    </row>
    <row r="331">
      <c r="I331" s="10"/>
    </row>
    <row r="332">
      <c r="I332" s="10"/>
    </row>
    <row r="333">
      <c r="I333" s="10"/>
    </row>
    <row r="334">
      <c r="I334" s="10"/>
    </row>
    <row r="335">
      <c r="I335" s="10"/>
    </row>
    <row r="336">
      <c r="I336" s="10"/>
    </row>
    <row r="337">
      <c r="I337" s="10"/>
    </row>
    <row r="338">
      <c r="I338" s="10"/>
    </row>
    <row r="339">
      <c r="I339" s="10"/>
    </row>
    <row r="340">
      <c r="I340" s="10"/>
    </row>
    <row r="341">
      <c r="I341" s="10"/>
    </row>
    <row r="342">
      <c r="I342" s="10"/>
    </row>
    <row r="343">
      <c r="I343" s="10"/>
    </row>
    <row r="344">
      <c r="I344" s="10"/>
    </row>
    <row r="345">
      <c r="I345" s="10"/>
    </row>
    <row r="346">
      <c r="I346" s="10"/>
    </row>
    <row r="347">
      <c r="I347" s="10"/>
    </row>
    <row r="348">
      <c r="I348" s="10"/>
    </row>
    <row r="349">
      <c r="I349" s="10"/>
    </row>
    <row r="350">
      <c r="I350" s="10"/>
    </row>
    <row r="351">
      <c r="I351" s="10"/>
    </row>
    <row r="352">
      <c r="I352" s="10"/>
    </row>
    <row r="353">
      <c r="I353" s="10"/>
    </row>
    <row r="354">
      <c r="I354" s="10"/>
    </row>
    <row r="355">
      <c r="I355" s="10"/>
    </row>
    <row r="356">
      <c r="I356" s="10"/>
    </row>
    <row r="357">
      <c r="I357" s="10"/>
    </row>
    <row r="358">
      <c r="I358" s="10"/>
    </row>
    <row r="359">
      <c r="I359" s="10"/>
    </row>
    <row r="360">
      <c r="I360" s="10"/>
    </row>
    <row r="361">
      <c r="I361" s="10"/>
    </row>
    <row r="362">
      <c r="I362" s="10"/>
    </row>
    <row r="363">
      <c r="I363" s="10"/>
    </row>
    <row r="364">
      <c r="I364" s="10"/>
    </row>
    <row r="365">
      <c r="I365" s="10"/>
    </row>
    <row r="366">
      <c r="I366" s="10"/>
    </row>
    <row r="367">
      <c r="I367" s="10"/>
    </row>
    <row r="368">
      <c r="I368" s="10"/>
    </row>
    <row r="369">
      <c r="I369" s="10"/>
    </row>
    <row r="370">
      <c r="I370" s="10"/>
    </row>
    <row r="371">
      <c r="I371" s="10"/>
    </row>
    <row r="372">
      <c r="I372" s="10"/>
    </row>
    <row r="373">
      <c r="I373" s="10"/>
    </row>
    <row r="374">
      <c r="I374" s="10"/>
    </row>
    <row r="375">
      <c r="I375" s="10"/>
    </row>
    <row r="376">
      <c r="I376" s="10"/>
    </row>
    <row r="377">
      <c r="I377" s="10"/>
    </row>
    <row r="378">
      <c r="I378" s="10"/>
    </row>
    <row r="379">
      <c r="I379" s="10"/>
    </row>
    <row r="380">
      <c r="I380" s="10"/>
    </row>
    <row r="381">
      <c r="I381" s="10"/>
    </row>
    <row r="382">
      <c r="I382" s="10"/>
    </row>
    <row r="383">
      <c r="I383" s="10"/>
    </row>
    <row r="384">
      <c r="I384" s="10"/>
    </row>
    <row r="385">
      <c r="I385" s="10"/>
    </row>
    <row r="386">
      <c r="I386" s="10"/>
    </row>
    <row r="387">
      <c r="I387" s="10"/>
    </row>
    <row r="388">
      <c r="I388" s="10"/>
    </row>
    <row r="389">
      <c r="I389" s="10"/>
    </row>
    <row r="390">
      <c r="I390" s="10"/>
    </row>
    <row r="391">
      <c r="I391" s="10"/>
    </row>
    <row r="392">
      <c r="I392" s="10"/>
    </row>
    <row r="393">
      <c r="I393" s="10"/>
    </row>
    <row r="394">
      <c r="I394" s="10"/>
    </row>
    <row r="395">
      <c r="I395" s="10"/>
    </row>
    <row r="396">
      <c r="I396" s="10"/>
    </row>
    <row r="397">
      <c r="I397" s="10"/>
    </row>
    <row r="398">
      <c r="I398" s="10"/>
    </row>
    <row r="399">
      <c r="I399" s="10"/>
    </row>
    <row r="400">
      <c r="I400" s="10"/>
    </row>
    <row r="401">
      <c r="I401" s="10"/>
    </row>
    <row r="402">
      <c r="I402" s="10"/>
    </row>
    <row r="403">
      <c r="I403" s="10"/>
    </row>
    <row r="404">
      <c r="I404" s="10"/>
    </row>
    <row r="405">
      <c r="I405" s="10"/>
    </row>
    <row r="406">
      <c r="I406" s="10"/>
    </row>
    <row r="407">
      <c r="I407" s="10"/>
    </row>
    <row r="408">
      <c r="I408" s="10"/>
    </row>
    <row r="409">
      <c r="I409" s="10"/>
    </row>
    <row r="410">
      <c r="I410" s="10"/>
    </row>
    <row r="411">
      <c r="I411" s="10"/>
    </row>
    <row r="412">
      <c r="I412" s="10"/>
    </row>
    <row r="413">
      <c r="I413" s="10"/>
    </row>
    <row r="414">
      <c r="I414" s="10"/>
    </row>
    <row r="415">
      <c r="I415" s="10"/>
    </row>
    <row r="416">
      <c r="I416" s="10"/>
    </row>
    <row r="417">
      <c r="I417" s="10"/>
    </row>
    <row r="418">
      <c r="I418" s="10"/>
    </row>
    <row r="419">
      <c r="I419" s="10"/>
    </row>
    <row r="420">
      <c r="I420" s="10"/>
    </row>
    <row r="421">
      <c r="I421" s="10"/>
    </row>
    <row r="422">
      <c r="I422" s="10"/>
    </row>
    <row r="423">
      <c r="I423" s="10"/>
    </row>
    <row r="424">
      <c r="I424" s="10"/>
    </row>
    <row r="425">
      <c r="I425" s="10"/>
    </row>
    <row r="426">
      <c r="I426" s="10"/>
    </row>
    <row r="427">
      <c r="I427" s="10"/>
    </row>
    <row r="428">
      <c r="I428" s="10"/>
    </row>
    <row r="429">
      <c r="I429" s="10"/>
    </row>
    <row r="430">
      <c r="I430" s="10"/>
    </row>
    <row r="431">
      <c r="I431" s="10"/>
    </row>
    <row r="432">
      <c r="I432" s="10"/>
    </row>
    <row r="433">
      <c r="I433" s="10"/>
    </row>
    <row r="434">
      <c r="I434" s="10"/>
    </row>
    <row r="435">
      <c r="I435" s="10"/>
    </row>
    <row r="436">
      <c r="I436" s="10"/>
    </row>
    <row r="437">
      <c r="I437" s="10"/>
    </row>
    <row r="438">
      <c r="I438" s="10"/>
    </row>
    <row r="439">
      <c r="I439" s="10"/>
    </row>
    <row r="440">
      <c r="I440" s="10"/>
    </row>
    <row r="441">
      <c r="I441" s="10"/>
    </row>
    <row r="442">
      <c r="I442" s="10"/>
    </row>
    <row r="443">
      <c r="I443" s="10"/>
    </row>
    <row r="444">
      <c r="I444" s="10"/>
    </row>
    <row r="445">
      <c r="I445" s="10"/>
    </row>
    <row r="446">
      <c r="I446" s="10"/>
    </row>
    <row r="447">
      <c r="I447" s="10"/>
    </row>
    <row r="448">
      <c r="I448" s="10"/>
    </row>
    <row r="449">
      <c r="I449" s="10"/>
    </row>
    <row r="450">
      <c r="I450" s="10"/>
    </row>
    <row r="451">
      <c r="I451" s="10"/>
    </row>
    <row r="452">
      <c r="I452" s="10"/>
    </row>
    <row r="453">
      <c r="I453" s="10"/>
    </row>
    <row r="454">
      <c r="I454" s="10"/>
    </row>
    <row r="455">
      <c r="I455" s="10"/>
    </row>
    <row r="456">
      <c r="I456" s="10"/>
    </row>
    <row r="457">
      <c r="I457" s="10"/>
    </row>
    <row r="458">
      <c r="I458" s="10"/>
    </row>
    <row r="459">
      <c r="I459" s="10"/>
    </row>
    <row r="460">
      <c r="I460" s="10"/>
    </row>
    <row r="461">
      <c r="I461" s="10"/>
    </row>
    <row r="462">
      <c r="I462" s="10"/>
    </row>
    <row r="463">
      <c r="I463" s="10"/>
    </row>
    <row r="464">
      <c r="I464" s="10"/>
    </row>
    <row r="465">
      <c r="I465" s="10"/>
    </row>
    <row r="466">
      <c r="I466" s="10"/>
    </row>
    <row r="467">
      <c r="I467" s="10"/>
    </row>
    <row r="468">
      <c r="I468" s="10"/>
    </row>
    <row r="469">
      <c r="I469" s="10"/>
    </row>
    <row r="470">
      <c r="I470" s="10"/>
    </row>
    <row r="471">
      <c r="I471" s="10"/>
    </row>
    <row r="472">
      <c r="I472" s="10"/>
    </row>
    <row r="473">
      <c r="I473" s="10"/>
    </row>
    <row r="474">
      <c r="I474" s="10"/>
    </row>
    <row r="475">
      <c r="I475" s="10"/>
    </row>
    <row r="476">
      <c r="I476" s="10"/>
    </row>
    <row r="477">
      <c r="I477" s="10"/>
    </row>
    <row r="478">
      <c r="I478" s="10"/>
    </row>
    <row r="479">
      <c r="I479" s="10"/>
    </row>
    <row r="480">
      <c r="I480" s="10"/>
    </row>
    <row r="481">
      <c r="I481" s="10"/>
    </row>
    <row r="482">
      <c r="I482" s="10"/>
    </row>
    <row r="483">
      <c r="I483" s="10"/>
    </row>
    <row r="484">
      <c r="I484" s="10"/>
    </row>
    <row r="485">
      <c r="I485" s="10"/>
    </row>
    <row r="486">
      <c r="I486" s="10"/>
    </row>
    <row r="487">
      <c r="I487" s="10"/>
    </row>
    <row r="488">
      <c r="I488" s="10"/>
    </row>
    <row r="489">
      <c r="I489" s="10"/>
    </row>
    <row r="490">
      <c r="I490" s="10"/>
    </row>
    <row r="491">
      <c r="I491" s="10"/>
    </row>
    <row r="492">
      <c r="I492" s="10"/>
    </row>
    <row r="493">
      <c r="I493" s="10"/>
    </row>
    <row r="494">
      <c r="I494" s="10"/>
    </row>
    <row r="495">
      <c r="I495" s="10"/>
    </row>
    <row r="496">
      <c r="I496" s="10"/>
    </row>
    <row r="497">
      <c r="I497" s="10"/>
    </row>
    <row r="498">
      <c r="I498" s="10"/>
    </row>
    <row r="499">
      <c r="I499" s="10"/>
    </row>
    <row r="500">
      <c r="I500" s="10"/>
    </row>
    <row r="501">
      <c r="I501" s="10"/>
    </row>
    <row r="502">
      <c r="I502" s="10"/>
    </row>
    <row r="503">
      <c r="I503" s="10"/>
    </row>
    <row r="504">
      <c r="I504" s="10"/>
    </row>
    <row r="505">
      <c r="I505" s="10"/>
    </row>
    <row r="506">
      <c r="I506" s="10"/>
    </row>
    <row r="507">
      <c r="I507" s="10"/>
    </row>
    <row r="508">
      <c r="I508" s="10"/>
    </row>
    <row r="509">
      <c r="I509" s="10"/>
    </row>
    <row r="510">
      <c r="I510" s="10"/>
    </row>
    <row r="511">
      <c r="I511" s="10"/>
    </row>
    <row r="512">
      <c r="I512" s="10"/>
    </row>
    <row r="513">
      <c r="I513" s="10"/>
    </row>
    <row r="514">
      <c r="I514" s="10"/>
    </row>
    <row r="515">
      <c r="I515" s="10"/>
    </row>
    <row r="516">
      <c r="I516" s="10"/>
    </row>
    <row r="517">
      <c r="I517" s="10"/>
    </row>
    <row r="518">
      <c r="I518" s="10"/>
    </row>
    <row r="519">
      <c r="I519" s="10"/>
    </row>
    <row r="520">
      <c r="I520" s="10"/>
    </row>
    <row r="521">
      <c r="I521" s="10"/>
    </row>
    <row r="522">
      <c r="I522" s="10"/>
    </row>
    <row r="523">
      <c r="I523" s="10"/>
    </row>
    <row r="524">
      <c r="I524" s="10"/>
    </row>
    <row r="525">
      <c r="I525" s="10"/>
    </row>
    <row r="526">
      <c r="I526" s="10"/>
    </row>
    <row r="527">
      <c r="I527" s="10"/>
    </row>
    <row r="528">
      <c r="I528" s="10"/>
    </row>
    <row r="529">
      <c r="I529" s="10"/>
    </row>
    <row r="530">
      <c r="I530" s="10"/>
    </row>
    <row r="531">
      <c r="I531" s="10"/>
    </row>
    <row r="532">
      <c r="I532" s="10"/>
    </row>
    <row r="533">
      <c r="I533" s="10"/>
    </row>
    <row r="534">
      <c r="I534" s="10"/>
    </row>
    <row r="535">
      <c r="I535" s="10"/>
    </row>
    <row r="536">
      <c r="I536" s="10"/>
    </row>
    <row r="537">
      <c r="I537" s="10"/>
    </row>
    <row r="538">
      <c r="I538" s="10"/>
    </row>
    <row r="539">
      <c r="I539" s="10"/>
    </row>
    <row r="540">
      <c r="I540" s="10"/>
    </row>
    <row r="541">
      <c r="I541" s="10"/>
    </row>
    <row r="542">
      <c r="I542" s="10"/>
    </row>
    <row r="543">
      <c r="I543" s="10"/>
    </row>
    <row r="544">
      <c r="I544" s="10"/>
    </row>
    <row r="545">
      <c r="I545" s="10"/>
    </row>
    <row r="546">
      <c r="I546" s="10"/>
    </row>
    <row r="547">
      <c r="I547" s="10"/>
    </row>
    <row r="548">
      <c r="I548" s="10"/>
    </row>
    <row r="549">
      <c r="I549" s="10"/>
    </row>
    <row r="550">
      <c r="I550" s="10"/>
    </row>
    <row r="551">
      <c r="I551" s="10"/>
    </row>
    <row r="552">
      <c r="I552" s="10"/>
    </row>
    <row r="553">
      <c r="I553" s="10"/>
    </row>
    <row r="554">
      <c r="I554" s="10"/>
    </row>
    <row r="555">
      <c r="I555" s="10"/>
    </row>
    <row r="556">
      <c r="I556" s="10"/>
    </row>
    <row r="557">
      <c r="I557" s="10"/>
    </row>
    <row r="558">
      <c r="I558" s="10"/>
    </row>
    <row r="559">
      <c r="I559" s="10"/>
    </row>
    <row r="560">
      <c r="I560" s="10"/>
    </row>
    <row r="561">
      <c r="I561" s="10"/>
    </row>
    <row r="562">
      <c r="I562" s="10"/>
    </row>
    <row r="563">
      <c r="I563" s="10"/>
    </row>
    <row r="564">
      <c r="I564" s="10"/>
    </row>
    <row r="565">
      <c r="I565" s="10"/>
    </row>
    <row r="566">
      <c r="I566" s="10"/>
    </row>
    <row r="567">
      <c r="I567" s="10"/>
    </row>
    <row r="568">
      <c r="I568" s="10"/>
    </row>
    <row r="569">
      <c r="I569" s="10"/>
    </row>
    <row r="570">
      <c r="I570" s="10"/>
    </row>
    <row r="571">
      <c r="I571" s="10"/>
    </row>
    <row r="572">
      <c r="I572" s="10"/>
    </row>
    <row r="573">
      <c r="I573" s="10"/>
    </row>
    <row r="574">
      <c r="I574" s="10"/>
    </row>
    <row r="575">
      <c r="I575" s="10"/>
    </row>
    <row r="576">
      <c r="I576" s="10"/>
    </row>
    <row r="577">
      <c r="I577" s="10"/>
    </row>
    <row r="578">
      <c r="I578" s="10"/>
    </row>
    <row r="579">
      <c r="I579" s="10"/>
    </row>
    <row r="580">
      <c r="I580" s="10"/>
    </row>
    <row r="581">
      <c r="I581" s="10"/>
    </row>
    <row r="582">
      <c r="I582" s="10"/>
    </row>
    <row r="583">
      <c r="I583" s="10"/>
    </row>
    <row r="584">
      <c r="I584" s="10"/>
    </row>
    <row r="585">
      <c r="I585" s="10"/>
    </row>
    <row r="586">
      <c r="I586" s="10"/>
    </row>
    <row r="587">
      <c r="I587" s="10"/>
    </row>
    <row r="588">
      <c r="I588" s="10"/>
    </row>
    <row r="589">
      <c r="I589" s="10"/>
    </row>
    <row r="590">
      <c r="I590" s="10"/>
    </row>
    <row r="591">
      <c r="I591" s="10"/>
    </row>
    <row r="592">
      <c r="I592" s="10"/>
    </row>
    <row r="593">
      <c r="I593" s="10"/>
    </row>
    <row r="594">
      <c r="I594" s="10"/>
    </row>
    <row r="595">
      <c r="I595" s="10"/>
    </row>
    <row r="596">
      <c r="I596" s="10"/>
    </row>
    <row r="597">
      <c r="I597" s="10"/>
    </row>
    <row r="598">
      <c r="I598" s="10"/>
    </row>
    <row r="599">
      <c r="I599" s="10"/>
    </row>
    <row r="600">
      <c r="I600" s="10"/>
    </row>
    <row r="601">
      <c r="I601" s="10"/>
    </row>
    <row r="602">
      <c r="I602" s="10"/>
    </row>
    <row r="603">
      <c r="I603" s="10"/>
    </row>
    <row r="604">
      <c r="I604" s="10"/>
    </row>
    <row r="605">
      <c r="I605" s="10"/>
    </row>
    <row r="606">
      <c r="I606" s="10"/>
    </row>
    <row r="607">
      <c r="I607" s="10"/>
    </row>
    <row r="608">
      <c r="I608" s="10"/>
    </row>
    <row r="609">
      <c r="I609" s="10"/>
    </row>
    <row r="610">
      <c r="I610" s="10"/>
    </row>
    <row r="611">
      <c r="I611" s="10"/>
    </row>
    <row r="612">
      <c r="I612" s="10"/>
    </row>
    <row r="613">
      <c r="I613" s="10"/>
    </row>
    <row r="614">
      <c r="I614" s="10"/>
    </row>
    <row r="615">
      <c r="I615" s="10"/>
    </row>
    <row r="616">
      <c r="I616" s="10"/>
    </row>
    <row r="617">
      <c r="I617" s="10"/>
    </row>
    <row r="618">
      <c r="I618" s="10"/>
    </row>
    <row r="619">
      <c r="I619" s="10"/>
    </row>
    <row r="620">
      <c r="I620" s="10"/>
    </row>
    <row r="621">
      <c r="I621" s="10"/>
    </row>
    <row r="622">
      <c r="I622" s="10"/>
    </row>
    <row r="623">
      <c r="I623" s="10"/>
    </row>
    <row r="624">
      <c r="I624" s="10"/>
    </row>
    <row r="625">
      <c r="I625" s="10"/>
    </row>
    <row r="626">
      <c r="I626" s="10"/>
    </row>
    <row r="627">
      <c r="I627" s="10"/>
    </row>
    <row r="628">
      <c r="I628" s="10"/>
    </row>
    <row r="629">
      <c r="I629" s="10"/>
    </row>
    <row r="630">
      <c r="I630" s="10"/>
    </row>
    <row r="631">
      <c r="I631" s="10"/>
    </row>
    <row r="632">
      <c r="I632" s="10"/>
    </row>
    <row r="633">
      <c r="I633" s="10"/>
    </row>
    <row r="634">
      <c r="I634" s="10"/>
    </row>
    <row r="635">
      <c r="I635" s="10"/>
    </row>
    <row r="636">
      <c r="I636" s="10"/>
    </row>
    <row r="637">
      <c r="I637" s="10"/>
    </row>
    <row r="638">
      <c r="I638" s="10"/>
    </row>
    <row r="639">
      <c r="I639" s="10"/>
    </row>
    <row r="640">
      <c r="I640" s="10"/>
    </row>
    <row r="641">
      <c r="I641" s="10"/>
    </row>
    <row r="642">
      <c r="I642" s="10"/>
    </row>
    <row r="643">
      <c r="I643" s="10"/>
    </row>
    <row r="644">
      <c r="I644" s="10"/>
    </row>
    <row r="645">
      <c r="I645" s="10"/>
    </row>
    <row r="646">
      <c r="I646" s="10"/>
    </row>
    <row r="647">
      <c r="I647" s="10"/>
    </row>
    <row r="648">
      <c r="I648" s="10"/>
    </row>
    <row r="649">
      <c r="I649" s="10"/>
    </row>
    <row r="650">
      <c r="I650" s="10"/>
    </row>
    <row r="651">
      <c r="I651" s="10"/>
    </row>
    <row r="652">
      <c r="I652" s="10"/>
    </row>
    <row r="653">
      <c r="I653" s="10"/>
    </row>
    <row r="654">
      <c r="I654" s="10"/>
    </row>
    <row r="655">
      <c r="I655" s="10"/>
    </row>
    <row r="656">
      <c r="I656" s="10"/>
    </row>
    <row r="657">
      <c r="I657" s="10"/>
    </row>
    <row r="658">
      <c r="I658" s="10"/>
    </row>
    <row r="659">
      <c r="I659" s="10"/>
    </row>
    <row r="660">
      <c r="I660" s="10"/>
    </row>
    <row r="661">
      <c r="I661" s="10"/>
    </row>
    <row r="662">
      <c r="I662" s="10"/>
    </row>
    <row r="663">
      <c r="I663" s="10"/>
    </row>
    <row r="664">
      <c r="I664" s="10"/>
    </row>
    <row r="665">
      <c r="I665" s="10"/>
    </row>
    <row r="666">
      <c r="I666" s="10"/>
    </row>
    <row r="667">
      <c r="I667" s="10"/>
    </row>
    <row r="668">
      <c r="I668" s="10"/>
    </row>
    <row r="669">
      <c r="I669" s="10"/>
    </row>
    <row r="670">
      <c r="I670" s="10"/>
    </row>
    <row r="671">
      <c r="I671" s="10"/>
    </row>
    <row r="672">
      <c r="I672" s="10"/>
    </row>
    <row r="673">
      <c r="I673" s="10"/>
    </row>
    <row r="674">
      <c r="I674" s="10"/>
    </row>
    <row r="675">
      <c r="I675" s="10"/>
    </row>
    <row r="676">
      <c r="I676" s="10"/>
    </row>
    <row r="677">
      <c r="I677" s="10"/>
    </row>
    <row r="678">
      <c r="I678" s="10"/>
    </row>
    <row r="679">
      <c r="I679" s="10"/>
    </row>
    <row r="680">
      <c r="I680" s="10"/>
    </row>
    <row r="681">
      <c r="I681" s="10"/>
    </row>
    <row r="682">
      <c r="I682" s="10"/>
    </row>
    <row r="683">
      <c r="I683" s="10"/>
    </row>
    <row r="684">
      <c r="I684" s="10"/>
    </row>
    <row r="685">
      <c r="I685" s="10"/>
    </row>
    <row r="686">
      <c r="I686" s="10"/>
    </row>
    <row r="687">
      <c r="I687" s="10"/>
    </row>
    <row r="688">
      <c r="I688" s="10"/>
    </row>
    <row r="689">
      <c r="I689" s="10"/>
    </row>
    <row r="690">
      <c r="I690" s="10"/>
    </row>
    <row r="691">
      <c r="I691" s="10"/>
    </row>
    <row r="692">
      <c r="I692" s="10"/>
    </row>
    <row r="693">
      <c r="I693" s="10"/>
    </row>
    <row r="694">
      <c r="I694" s="10"/>
    </row>
    <row r="695">
      <c r="I695" s="10"/>
    </row>
    <row r="696">
      <c r="I696" s="10"/>
    </row>
    <row r="697">
      <c r="I697" s="10"/>
    </row>
    <row r="698">
      <c r="I698" s="10"/>
    </row>
    <row r="699">
      <c r="I699" s="10"/>
    </row>
    <row r="700">
      <c r="I700" s="10"/>
    </row>
    <row r="701">
      <c r="I701" s="10"/>
    </row>
    <row r="702">
      <c r="I702" s="10"/>
    </row>
    <row r="703">
      <c r="I703" s="10"/>
    </row>
    <row r="704">
      <c r="I704" s="10"/>
    </row>
    <row r="705">
      <c r="I705" s="10"/>
    </row>
    <row r="706">
      <c r="I706" s="10"/>
    </row>
    <row r="707">
      <c r="I707" s="10"/>
    </row>
    <row r="708">
      <c r="I708" s="10"/>
    </row>
    <row r="709">
      <c r="I709" s="10"/>
    </row>
    <row r="710">
      <c r="I710" s="10"/>
    </row>
    <row r="711">
      <c r="I711" s="10"/>
    </row>
    <row r="712">
      <c r="I712" s="10"/>
    </row>
    <row r="713">
      <c r="I713" s="10"/>
    </row>
    <row r="714">
      <c r="I714" s="10"/>
    </row>
    <row r="715">
      <c r="I715" s="10"/>
    </row>
    <row r="716">
      <c r="I716" s="10"/>
    </row>
    <row r="717">
      <c r="I717" s="10"/>
    </row>
    <row r="718">
      <c r="I718" s="10"/>
    </row>
    <row r="719">
      <c r="I719" s="10"/>
    </row>
    <row r="720">
      <c r="I720" s="10"/>
    </row>
    <row r="721">
      <c r="I721" s="10"/>
    </row>
    <row r="722">
      <c r="I722" s="10"/>
    </row>
    <row r="723">
      <c r="I723" s="10"/>
    </row>
    <row r="724">
      <c r="I724" s="10"/>
    </row>
    <row r="725">
      <c r="I725" s="10"/>
    </row>
    <row r="726">
      <c r="I726" s="10"/>
    </row>
    <row r="727">
      <c r="I727" s="10"/>
    </row>
    <row r="728">
      <c r="I728" s="10"/>
    </row>
    <row r="729">
      <c r="I729" s="10"/>
    </row>
    <row r="730">
      <c r="I730" s="10"/>
    </row>
    <row r="731">
      <c r="I731" s="10"/>
    </row>
    <row r="732">
      <c r="I732" s="10"/>
    </row>
    <row r="733">
      <c r="I733" s="10"/>
    </row>
    <row r="734">
      <c r="I734" s="10"/>
    </row>
    <row r="735">
      <c r="I735" s="10"/>
    </row>
    <row r="736">
      <c r="I736" s="10"/>
    </row>
    <row r="737">
      <c r="I737" s="10"/>
    </row>
    <row r="738">
      <c r="I738" s="10"/>
    </row>
    <row r="739">
      <c r="I739" s="10"/>
    </row>
    <row r="740">
      <c r="I740" s="10"/>
    </row>
    <row r="741">
      <c r="I741" s="10"/>
    </row>
    <row r="742">
      <c r="I742" s="10"/>
    </row>
    <row r="743">
      <c r="I743" s="10"/>
    </row>
    <row r="744">
      <c r="I744" s="10"/>
    </row>
    <row r="745">
      <c r="I745" s="10"/>
    </row>
    <row r="746">
      <c r="I746" s="10"/>
    </row>
    <row r="747">
      <c r="I747" s="10"/>
    </row>
    <row r="748">
      <c r="I748" s="10"/>
    </row>
    <row r="749">
      <c r="I749" s="10"/>
    </row>
    <row r="750">
      <c r="I750" s="10"/>
    </row>
    <row r="751">
      <c r="I751" s="10"/>
    </row>
    <row r="752">
      <c r="I752" s="10"/>
    </row>
    <row r="753">
      <c r="I753" s="10"/>
    </row>
    <row r="754">
      <c r="I754" s="10"/>
    </row>
    <row r="755">
      <c r="I755" s="10"/>
    </row>
    <row r="756">
      <c r="I756" s="10"/>
    </row>
    <row r="757">
      <c r="I757" s="10"/>
    </row>
    <row r="758">
      <c r="I758" s="10"/>
    </row>
    <row r="759">
      <c r="I759" s="10"/>
    </row>
    <row r="760">
      <c r="I760" s="10"/>
    </row>
    <row r="761">
      <c r="I761" s="10"/>
    </row>
    <row r="762">
      <c r="I762" s="10"/>
    </row>
    <row r="763">
      <c r="I763" s="10"/>
    </row>
    <row r="764">
      <c r="I764" s="10"/>
    </row>
    <row r="765">
      <c r="I765" s="10"/>
    </row>
    <row r="766">
      <c r="I766" s="10"/>
    </row>
    <row r="767">
      <c r="I767" s="10"/>
    </row>
    <row r="768">
      <c r="I768" s="10"/>
    </row>
    <row r="769">
      <c r="I769" s="10"/>
    </row>
    <row r="770">
      <c r="I770" s="10"/>
    </row>
    <row r="771">
      <c r="I771" s="10"/>
    </row>
    <row r="772">
      <c r="I772" s="10"/>
    </row>
    <row r="773">
      <c r="I773" s="10"/>
    </row>
    <row r="774">
      <c r="I774" s="10"/>
    </row>
    <row r="775">
      <c r="I775" s="10"/>
    </row>
    <row r="776">
      <c r="I776" s="10"/>
    </row>
    <row r="777">
      <c r="I777" s="10"/>
    </row>
    <row r="778">
      <c r="I778" s="10"/>
    </row>
    <row r="779">
      <c r="I779" s="10"/>
    </row>
    <row r="780">
      <c r="I780" s="10"/>
    </row>
    <row r="781">
      <c r="I781" s="10"/>
    </row>
    <row r="782">
      <c r="I782" s="10"/>
    </row>
    <row r="783">
      <c r="I783" s="10"/>
    </row>
    <row r="784">
      <c r="I784" s="10"/>
    </row>
    <row r="785">
      <c r="I785" s="10"/>
    </row>
    <row r="786">
      <c r="I786" s="10"/>
    </row>
    <row r="787">
      <c r="I787" s="10"/>
    </row>
    <row r="788">
      <c r="I788" s="10"/>
    </row>
    <row r="789">
      <c r="I789" s="10"/>
    </row>
    <row r="790">
      <c r="I790" s="10"/>
    </row>
    <row r="791">
      <c r="I791" s="10"/>
    </row>
    <row r="792">
      <c r="I792" s="10"/>
    </row>
    <row r="793">
      <c r="I793" s="10"/>
    </row>
    <row r="794">
      <c r="I794" s="10"/>
    </row>
    <row r="795">
      <c r="I795" s="10"/>
    </row>
    <row r="796">
      <c r="I796" s="10"/>
    </row>
    <row r="797">
      <c r="I797" s="10"/>
    </row>
    <row r="798">
      <c r="I798" s="10"/>
    </row>
    <row r="799">
      <c r="I799" s="10"/>
    </row>
    <row r="800">
      <c r="I800" s="10"/>
    </row>
    <row r="801">
      <c r="I801" s="10"/>
    </row>
    <row r="802">
      <c r="I802" s="10"/>
    </row>
    <row r="803">
      <c r="I803" s="10"/>
    </row>
    <row r="804">
      <c r="I804" s="10"/>
    </row>
    <row r="805">
      <c r="I805" s="10"/>
    </row>
    <row r="806">
      <c r="I806" s="10"/>
    </row>
    <row r="807">
      <c r="I807" s="10"/>
    </row>
    <row r="808">
      <c r="I808" s="10"/>
    </row>
    <row r="809">
      <c r="I809" s="10"/>
    </row>
    <row r="810">
      <c r="I810" s="10"/>
    </row>
    <row r="811">
      <c r="I811" s="10"/>
    </row>
    <row r="812">
      <c r="I812" s="10"/>
    </row>
    <row r="813">
      <c r="I813" s="10"/>
    </row>
    <row r="814">
      <c r="I814" s="10"/>
    </row>
    <row r="815">
      <c r="I815" s="10"/>
    </row>
    <row r="816">
      <c r="I816" s="10"/>
    </row>
    <row r="817">
      <c r="I817" s="10"/>
    </row>
    <row r="818">
      <c r="I818" s="10"/>
    </row>
    <row r="819">
      <c r="I819" s="10"/>
    </row>
    <row r="820">
      <c r="I820" s="10"/>
    </row>
    <row r="821">
      <c r="I821" s="10"/>
    </row>
    <row r="822">
      <c r="I822" s="10"/>
    </row>
    <row r="823">
      <c r="I823" s="10"/>
    </row>
    <row r="824">
      <c r="I824" s="10"/>
    </row>
    <row r="825">
      <c r="I825" s="10"/>
    </row>
    <row r="826">
      <c r="I826" s="10"/>
    </row>
    <row r="827">
      <c r="I827" s="10"/>
    </row>
    <row r="828">
      <c r="I828" s="10"/>
    </row>
    <row r="829">
      <c r="I829" s="10"/>
    </row>
    <row r="830">
      <c r="I830" s="10"/>
    </row>
    <row r="831">
      <c r="I831" s="10"/>
    </row>
    <row r="832">
      <c r="I832" s="10"/>
    </row>
    <row r="833">
      <c r="I833" s="10"/>
    </row>
    <row r="834">
      <c r="I834" s="10"/>
    </row>
    <row r="835">
      <c r="I835" s="10"/>
    </row>
    <row r="836">
      <c r="I836" s="10"/>
    </row>
    <row r="837">
      <c r="I837" s="10"/>
    </row>
    <row r="838">
      <c r="I838" s="10"/>
    </row>
    <row r="839">
      <c r="I839" s="10"/>
    </row>
    <row r="840">
      <c r="I840" s="10"/>
    </row>
    <row r="841">
      <c r="I841" s="10"/>
    </row>
    <row r="842">
      <c r="I842" s="10"/>
    </row>
    <row r="843">
      <c r="I843" s="10"/>
    </row>
    <row r="844">
      <c r="I844" s="10"/>
    </row>
    <row r="845">
      <c r="I845" s="10"/>
    </row>
    <row r="846">
      <c r="I846" s="10"/>
    </row>
    <row r="847">
      <c r="I847" s="10"/>
    </row>
    <row r="848">
      <c r="I848" s="10"/>
    </row>
    <row r="849">
      <c r="I849" s="10"/>
    </row>
    <row r="850">
      <c r="I850" s="10"/>
    </row>
    <row r="851">
      <c r="I851" s="10"/>
    </row>
    <row r="852">
      <c r="I852" s="10"/>
    </row>
    <row r="853">
      <c r="I853" s="10"/>
    </row>
    <row r="854">
      <c r="I854" s="10"/>
    </row>
    <row r="855">
      <c r="I855" s="10"/>
    </row>
    <row r="856">
      <c r="I856" s="10"/>
    </row>
    <row r="857">
      <c r="I857" s="10"/>
    </row>
    <row r="858">
      <c r="I858" s="10"/>
    </row>
    <row r="859">
      <c r="I859" s="10"/>
    </row>
    <row r="860">
      <c r="I860" s="10"/>
    </row>
    <row r="861">
      <c r="I861" s="10"/>
    </row>
    <row r="862">
      <c r="I862" s="10"/>
    </row>
    <row r="863">
      <c r="I863" s="10"/>
    </row>
    <row r="864">
      <c r="I864" s="10"/>
    </row>
    <row r="865">
      <c r="I865" s="10"/>
    </row>
    <row r="866">
      <c r="I866" s="10"/>
    </row>
    <row r="867">
      <c r="I867" s="10"/>
    </row>
    <row r="868">
      <c r="I868" s="10"/>
    </row>
    <row r="869">
      <c r="I869" s="10"/>
    </row>
    <row r="870">
      <c r="I870" s="10"/>
    </row>
    <row r="871">
      <c r="I871" s="10"/>
    </row>
    <row r="872">
      <c r="I872" s="10"/>
    </row>
    <row r="873">
      <c r="I873" s="10"/>
    </row>
    <row r="874">
      <c r="I874" s="10"/>
    </row>
    <row r="875">
      <c r="I875" s="10"/>
    </row>
    <row r="876">
      <c r="I876" s="10"/>
    </row>
    <row r="877">
      <c r="I877" s="10"/>
    </row>
    <row r="878">
      <c r="I878" s="10"/>
    </row>
    <row r="879">
      <c r="I879" s="10"/>
    </row>
    <row r="880">
      <c r="I880" s="10"/>
    </row>
    <row r="881">
      <c r="I881" s="10"/>
    </row>
    <row r="882">
      <c r="I882" s="10"/>
    </row>
    <row r="883">
      <c r="I883" s="10"/>
    </row>
    <row r="884">
      <c r="I884" s="10"/>
    </row>
    <row r="885">
      <c r="I885" s="10"/>
    </row>
    <row r="886">
      <c r="I886" s="10"/>
    </row>
    <row r="887">
      <c r="I887" s="10"/>
    </row>
    <row r="888">
      <c r="I888" s="10"/>
    </row>
    <row r="889">
      <c r="I889" s="10"/>
    </row>
    <row r="890">
      <c r="I890" s="10"/>
    </row>
    <row r="891">
      <c r="I891" s="10"/>
    </row>
    <row r="892">
      <c r="I892" s="10"/>
    </row>
    <row r="893">
      <c r="I893" s="10"/>
    </row>
    <row r="894">
      <c r="I894" s="10"/>
    </row>
    <row r="895">
      <c r="I895" s="10"/>
    </row>
    <row r="896">
      <c r="I896" s="10"/>
    </row>
    <row r="897">
      <c r="I897" s="10"/>
    </row>
    <row r="898">
      <c r="I898" s="10"/>
    </row>
    <row r="899">
      <c r="I899" s="10"/>
    </row>
    <row r="900">
      <c r="I900" s="10"/>
    </row>
    <row r="901">
      <c r="I901" s="10"/>
    </row>
    <row r="902">
      <c r="I902" s="10"/>
    </row>
    <row r="903">
      <c r="I903" s="10"/>
    </row>
    <row r="904">
      <c r="I904" s="10"/>
    </row>
    <row r="905">
      <c r="I905" s="10"/>
    </row>
    <row r="906">
      <c r="I906" s="10"/>
    </row>
    <row r="907">
      <c r="I907" s="10"/>
    </row>
    <row r="908">
      <c r="I908" s="10"/>
    </row>
    <row r="909">
      <c r="I909" s="10"/>
    </row>
    <row r="910">
      <c r="I910" s="10"/>
    </row>
    <row r="911">
      <c r="I911" s="10"/>
    </row>
    <row r="912">
      <c r="I912" s="10"/>
    </row>
    <row r="913">
      <c r="I913" s="10"/>
    </row>
    <row r="914">
      <c r="I914" s="10"/>
    </row>
    <row r="915">
      <c r="I915" s="10"/>
    </row>
    <row r="916">
      <c r="I916" s="10"/>
    </row>
    <row r="917">
      <c r="I917" s="10"/>
    </row>
    <row r="918">
      <c r="I918" s="10"/>
    </row>
    <row r="919">
      <c r="I919" s="10"/>
    </row>
    <row r="920">
      <c r="I920" s="10"/>
    </row>
    <row r="921">
      <c r="I921" s="10"/>
    </row>
    <row r="922">
      <c r="I922" s="10"/>
    </row>
    <row r="923">
      <c r="I923" s="10"/>
    </row>
    <row r="924">
      <c r="I924" s="10"/>
    </row>
    <row r="925">
      <c r="I925" s="10"/>
    </row>
    <row r="926">
      <c r="I926" s="10"/>
    </row>
    <row r="927">
      <c r="I927" s="10"/>
    </row>
    <row r="928">
      <c r="I928" s="10"/>
    </row>
    <row r="929">
      <c r="I929" s="10"/>
    </row>
    <row r="930">
      <c r="I930" s="10"/>
    </row>
    <row r="931">
      <c r="I931" s="10"/>
    </row>
    <row r="932">
      <c r="I932" s="10"/>
    </row>
    <row r="933">
      <c r="I933" s="10"/>
    </row>
    <row r="934">
      <c r="I934" s="10"/>
    </row>
    <row r="935">
      <c r="I935" s="10"/>
    </row>
    <row r="936">
      <c r="I936" s="10"/>
    </row>
    <row r="937">
      <c r="I937" s="10"/>
    </row>
    <row r="938">
      <c r="I938" s="10"/>
    </row>
    <row r="939">
      <c r="I939" s="10"/>
    </row>
    <row r="940">
      <c r="I940" s="10"/>
    </row>
    <row r="941">
      <c r="I941" s="10"/>
    </row>
    <row r="942">
      <c r="I942" s="10"/>
    </row>
    <row r="943">
      <c r="I943" s="10"/>
    </row>
    <row r="944">
      <c r="I944" s="10"/>
    </row>
    <row r="945">
      <c r="I945" s="10"/>
    </row>
    <row r="946">
      <c r="I946" s="10"/>
    </row>
    <row r="947">
      <c r="I947" s="10"/>
    </row>
    <row r="948">
      <c r="I948" s="10"/>
    </row>
    <row r="949">
      <c r="I949" s="10"/>
    </row>
    <row r="950">
      <c r="I950" s="10"/>
    </row>
    <row r="951">
      <c r="I951" s="10"/>
    </row>
    <row r="952">
      <c r="I952" s="10"/>
    </row>
    <row r="953">
      <c r="I953" s="10"/>
    </row>
    <row r="954">
      <c r="I954" s="10"/>
    </row>
    <row r="955">
      <c r="I955" s="10"/>
    </row>
    <row r="956">
      <c r="I956" s="10"/>
    </row>
    <row r="957">
      <c r="I957" s="10"/>
    </row>
    <row r="958">
      <c r="I958" s="10"/>
    </row>
    <row r="959">
      <c r="I959" s="10"/>
    </row>
    <row r="960">
      <c r="I960" s="10"/>
    </row>
    <row r="961">
      <c r="I961" s="10"/>
    </row>
    <row r="962">
      <c r="I962" s="10"/>
    </row>
    <row r="963">
      <c r="I963" s="10"/>
    </row>
    <row r="964">
      <c r="I964" s="10"/>
    </row>
    <row r="965">
      <c r="I965" s="10"/>
    </row>
    <row r="966">
      <c r="I966" s="10"/>
    </row>
    <row r="967">
      <c r="I967" s="10"/>
    </row>
    <row r="968">
      <c r="I968" s="10"/>
    </row>
    <row r="969">
      <c r="I969" s="10"/>
    </row>
    <row r="970">
      <c r="I970" s="10"/>
    </row>
    <row r="971">
      <c r="I971" s="10"/>
    </row>
    <row r="972">
      <c r="I972" s="10"/>
    </row>
    <row r="973">
      <c r="I973" s="10"/>
    </row>
    <row r="974">
      <c r="I974" s="10"/>
    </row>
    <row r="975">
      <c r="I975" s="10"/>
    </row>
    <row r="976">
      <c r="I976" s="10"/>
    </row>
    <row r="977">
      <c r="I977" s="10"/>
    </row>
    <row r="978">
      <c r="I978" s="10"/>
    </row>
    <row r="979">
      <c r="I979" s="10"/>
    </row>
    <row r="980">
      <c r="I980" s="10"/>
    </row>
    <row r="981">
      <c r="I981" s="10"/>
    </row>
    <row r="982">
      <c r="I982" s="10"/>
    </row>
    <row r="983">
      <c r="I983" s="10"/>
    </row>
    <row r="984">
      <c r="I984" s="10"/>
    </row>
    <row r="985">
      <c r="I985" s="10"/>
    </row>
    <row r="986">
      <c r="I986" s="10"/>
    </row>
    <row r="987">
      <c r="I987" s="10"/>
    </row>
    <row r="988">
      <c r="I988" s="10"/>
    </row>
    <row r="989">
      <c r="I989" s="10"/>
    </row>
    <row r="990">
      <c r="I990" s="10"/>
    </row>
    <row r="991">
      <c r="I991" s="10"/>
    </row>
    <row r="992">
      <c r="I992" s="10"/>
    </row>
    <row r="993">
      <c r="I993" s="10"/>
    </row>
    <row r="994">
      <c r="I994" s="10"/>
    </row>
    <row r="995">
      <c r="I995" s="10"/>
    </row>
    <row r="996">
      <c r="I996" s="10"/>
    </row>
    <row r="997">
      <c r="I997" s="10"/>
    </row>
    <row r="998">
      <c r="I998" s="10"/>
    </row>
    <row r="999">
      <c r="I999" s="10"/>
    </row>
    <row r="1000">
      <c r="I1000" s="10"/>
    </row>
  </sheetData>
  <autoFilter ref="$J$1:$J$1000"/>
  <customSheetViews>
    <customSheetView guid="{E0416543-1C3B-42B9-9CE2-B6C8B24820C9}" filter="1" showAutoFilter="1">
      <autoFilter ref="$A$1:$J$101"/>
    </customSheetView>
    <customSheetView guid="{E0416543-1C3B-42B9-9CE2-B6C8B24820C9}" filter="1" showAutoFilter="1">
      <autoFilter ref="$A$1:$J$101"/>
    </customSheetView>
    <customSheetView guid="{E0416543-1C3B-42B9-9CE2-B6C8B24820C9}" filter="1" showAutoFilter="1">
      <autoFilter ref="$A$1:$J$10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7">
      <c r="A7" s="15" t="s">
        <v>136</v>
      </c>
    </row>
    <row r="8">
      <c r="A8" s="15" t="s">
        <v>137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6">
      <c r="A66" s="15" t="s">
        <v>159</v>
      </c>
    </row>
    <row r="67">
      <c r="A67" s="15" t="s">
        <v>160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8">
      <c r="A8" s="15" t="s">
        <v>161</v>
      </c>
    </row>
    <row r="9">
      <c r="A9" s="15">
        <v>43.125</v>
      </c>
    </row>
    <row r="10">
      <c r="A10" s="15" t="s">
        <v>162</v>
      </c>
    </row>
    <row r="11">
      <c r="A11" s="15" t="s">
        <v>163</v>
      </c>
    </row>
    <row r="12">
      <c r="A12" s="15" t="s">
        <v>164</v>
      </c>
    </row>
    <row r="13">
      <c r="A13" s="15" t="s">
        <v>165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</sheetData>
  <autoFilter ref="$B$1:$B$100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8">
      <c r="A8" s="15" t="s">
        <v>261</v>
      </c>
    </row>
    <row r="9">
      <c r="A9" s="15" t="s">
        <v>262</v>
      </c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IFERROR(__xludf.DUMMYFUNCTION("QUERY(Sheet1!A1:J1000, ""SELECT A, B, C, D, E, F, G, H, I WHERE J = 'Winner'"", 1)"),"Constituency")</f>
        <v>Constituency</v>
      </c>
      <c r="B1" s="5" t="str">
        <f>IFERROR(__xludf.DUMMYFUNCTION("""COMPUTED_VALUE"""),"State")</f>
        <v>State</v>
      </c>
      <c r="C1" s="5" t="str">
        <f>IFERROR(__xludf.DUMMYFUNCTION("""COMPUTED_VALUE"""),"Party")</f>
        <v>Party</v>
      </c>
      <c r="D1" s="5" t="str">
        <f>IFERROR(__xludf.DUMMYFUNCTION("""COMPUTED_VALUE"""),"Candidate")</f>
        <v>Candidate</v>
      </c>
      <c r="E1" s="5" t="str">
        <f>IFERROR(__xludf.DUMMYFUNCTION("""COMPUTED_VALUE"""),"Votes")</f>
        <v>Votes</v>
      </c>
      <c r="F1" s="5" t="str">
        <f>IFERROR(__xludf.DUMMYFUNCTION("""COMPUTED_VALUE"""),"Total_Votes")</f>
        <v>Total_Votes</v>
      </c>
      <c r="G1" s="5" t="str">
        <f>IFERROR(__xludf.DUMMYFUNCTION("""COMPUTED_VALUE"""),"Gender")</f>
        <v>Gender</v>
      </c>
      <c r="H1" s="5" t="str">
        <f>IFERROR(__xludf.DUMMYFUNCTION("""COMPUTED_VALUE"""),"Age")</f>
        <v>Age</v>
      </c>
      <c r="I1" s="5" t="str">
        <f>IFERROR(__xludf.DUMMYFUNCTION("""COMPUTED_VALUE"""),"Vote%")</f>
        <v>Vote%</v>
      </c>
    </row>
    <row r="2">
      <c r="A2" s="5" t="str">
        <f>IFERROR(__xludf.DUMMYFUNCTION("""COMPUTED_VALUE"""),"Bangalore South")</f>
        <v>Bangalore South</v>
      </c>
      <c r="B2" s="5" t="str">
        <f>IFERROR(__xludf.DUMMYFUNCTION("""COMPUTED_VALUE"""),"Karnataka")</f>
        <v>Karnataka</v>
      </c>
      <c r="C2" s="5" t="str">
        <f>IFERROR(__xludf.DUMMYFUNCTION("""COMPUTED_VALUE"""),"XYZ")</f>
        <v>XYZ</v>
      </c>
      <c r="D2" s="5" t="str">
        <f>IFERROR(__xludf.DUMMYFUNCTION("""COMPUTED_VALUE"""),"Meera Iyer")</f>
        <v>Meera Iyer</v>
      </c>
      <c r="E2" s="5">
        <f>IFERROR(__xludf.DUMMYFUNCTION("""COMPUTED_VALUE"""),51234.0)</f>
        <v>51234</v>
      </c>
      <c r="F2" s="5">
        <f>IFERROR(__xludf.DUMMYFUNCTION("""COMPUTED_VALUE"""),120000.0)</f>
        <v>120000</v>
      </c>
      <c r="G2" s="5" t="str">
        <f>IFERROR(__xludf.DUMMYFUNCTION("""COMPUTED_VALUE"""),"Female")</f>
        <v>Female</v>
      </c>
      <c r="H2" s="5">
        <f>IFERROR(__xludf.DUMMYFUNCTION("""COMPUTED_VALUE"""),36.0)</f>
        <v>36</v>
      </c>
      <c r="I2" s="10">
        <f>IFERROR(__xludf.DUMMYFUNCTION("""COMPUTED_VALUE"""),42.695)</f>
        <v>42.695</v>
      </c>
    </row>
    <row r="3">
      <c r="A3" s="5" t="str">
        <f>IFERROR(__xludf.DUMMYFUNCTION("""COMPUTED_VALUE"""),"Mysore")</f>
        <v>Mysore</v>
      </c>
      <c r="B3" s="5" t="str">
        <f>IFERROR(__xludf.DUMMYFUNCTION("""COMPUTED_VALUE"""),"Karnataka")</f>
        <v>Karnataka</v>
      </c>
      <c r="C3" s="5" t="str">
        <f>IFERROR(__xludf.DUMMYFUNCTION("""COMPUTED_VALUE"""),"ABC")</f>
        <v>ABC</v>
      </c>
      <c r="D3" s="5" t="str">
        <f>IFERROR(__xludf.DUMMYFUNCTION("""COMPUTED_VALUE"""),"Kiran Gowda")</f>
        <v>Kiran Gowda</v>
      </c>
      <c r="E3" s="5">
        <f>IFERROR(__xludf.DUMMYFUNCTION("""COMPUTED_VALUE"""),62341.0)</f>
        <v>62341</v>
      </c>
      <c r="F3" s="5">
        <f>IFERROR(__xludf.DUMMYFUNCTION("""COMPUTED_VALUE"""),150000.0)</f>
        <v>150000</v>
      </c>
      <c r="G3" s="5" t="str">
        <f>IFERROR(__xludf.DUMMYFUNCTION("""COMPUTED_VALUE"""),"Male")</f>
        <v>Male</v>
      </c>
      <c r="H3" s="5">
        <f>IFERROR(__xludf.DUMMYFUNCTION("""COMPUTED_VALUE"""),41.0)</f>
        <v>41</v>
      </c>
      <c r="I3" s="10">
        <f>IFERROR(__xludf.DUMMYFUNCTION("""COMPUTED_VALUE"""),41.56066666666667)</f>
        <v>41.56066667</v>
      </c>
    </row>
    <row r="4">
      <c r="A4" s="5" t="str">
        <f>IFERROR(__xludf.DUMMYFUNCTION("""COMPUTED_VALUE"""),"Tumkur")</f>
        <v>Tumkur</v>
      </c>
      <c r="B4" s="5" t="str">
        <f>IFERROR(__xludf.DUMMYFUNCTION("""COMPUTED_VALUE"""),"Karnataka")</f>
        <v>Karnataka</v>
      </c>
      <c r="C4" s="5" t="str">
        <f>IFERROR(__xludf.DUMMYFUNCTION("""COMPUTED_VALUE"""),"XYZ")</f>
        <v>XYZ</v>
      </c>
      <c r="D4" s="5" t="str">
        <f>IFERROR(__xludf.DUMMYFUNCTION("""COMPUTED_VALUE"""),"Kavya Shetty")</f>
        <v>Kavya Shetty</v>
      </c>
      <c r="E4" s="5">
        <f>IFERROR(__xludf.DUMMYFUNCTION("""COMPUTED_VALUE"""),46211.0)</f>
        <v>46211</v>
      </c>
      <c r="F4" s="5">
        <f>IFERROR(__xludf.DUMMYFUNCTION("""COMPUTED_VALUE"""),110000.0)</f>
        <v>110000</v>
      </c>
      <c r="G4" s="5" t="str">
        <f>IFERROR(__xludf.DUMMYFUNCTION("""COMPUTED_VALUE"""),"Female")</f>
        <v>Female</v>
      </c>
      <c r="H4" s="5">
        <f>IFERROR(__xludf.DUMMYFUNCTION("""COMPUTED_VALUE"""),35.0)</f>
        <v>35</v>
      </c>
      <c r="I4" s="10">
        <f>IFERROR(__xludf.DUMMYFUNCTION("""COMPUTED_VALUE"""),42.01)</f>
        <v>42.01</v>
      </c>
    </row>
    <row r="5">
      <c r="A5" s="5" t="str">
        <f>IFERROR(__xludf.DUMMYFUNCTION("""COMPUTED_VALUE"""),"Hubli")</f>
        <v>Hubli</v>
      </c>
      <c r="B5" s="5" t="str">
        <f>IFERROR(__xludf.DUMMYFUNCTION("""COMPUTED_VALUE"""),"Karnataka")</f>
        <v>Karnataka</v>
      </c>
      <c r="C5" s="5" t="str">
        <f>IFERROR(__xludf.DUMMYFUNCTION("""COMPUTED_VALUE"""),"ABC")</f>
        <v>ABC</v>
      </c>
      <c r="D5" s="5" t="str">
        <f>IFERROR(__xludf.DUMMYFUNCTION("""COMPUTED_VALUE"""),"Prakash Patil")</f>
        <v>Prakash Patil</v>
      </c>
      <c r="E5" s="5">
        <f>IFERROR(__xludf.DUMMYFUNCTION("""COMPUTED_VALUE"""),71234.0)</f>
        <v>71234</v>
      </c>
      <c r="F5" s="5">
        <f>IFERROR(__xludf.DUMMYFUNCTION("""COMPUTED_VALUE"""),180000.0)</f>
        <v>180000</v>
      </c>
      <c r="G5" s="5" t="str">
        <f>IFERROR(__xludf.DUMMYFUNCTION("""COMPUTED_VALUE"""),"Male")</f>
        <v>Male</v>
      </c>
      <c r="H5" s="5">
        <f>IFERROR(__xludf.DUMMYFUNCTION("""COMPUTED_VALUE"""),55.0)</f>
        <v>55</v>
      </c>
      <c r="I5" s="10">
        <f>IFERROR(__xludf.DUMMYFUNCTION("""COMPUTED_VALUE"""),39.574444444444445)</f>
        <v>39.57444444</v>
      </c>
    </row>
    <row r="6">
      <c r="A6" s="5" t="str">
        <f>IFERROR(__xludf.DUMMYFUNCTION("""COMPUTED_VALUE"""),"Belgaum")</f>
        <v>Belgaum</v>
      </c>
      <c r="B6" s="5" t="str">
        <f>IFERROR(__xludf.DUMMYFUNCTION("""COMPUTED_VALUE"""),"Karnataka")</f>
        <v>Karnataka</v>
      </c>
      <c r="C6" s="5" t="str">
        <f>IFERROR(__xludf.DUMMYFUNCTION("""COMPUTED_VALUE"""),"XYZ")</f>
        <v>XYZ</v>
      </c>
      <c r="D6" s="5" t="str">
        <f>IFERROR(__xludf.DUMMYFUNCTION("""COMPUTED_VALUE"""),"Ritu Sharma")</f>
        <v>Ritu Sharma</v>
      </c>
      <c r="E6" s="5">
        <f>IFERROR(__xludf.DUMMYFUNCTION("""COMPUTED_VALUE"""),57210.0)</f>
        <v>57210</v>
      </c>
      <c r="F6" s="5">
        <f>IFERROR(__xludf.DUMMYFUNCTION("""COMPUTED_VALUE"""),140000.0)</f>
        <v>140000</v>
      </c>
      <c r="G6" s="5" t="str">
        <f>IFERROR(__xludf.DUMMYFUNCTION("""COMPUTED_VALUE"""),"Female")</f>
        <v>Female</v>
      </c>
      <c r="H6" s="5">
        <f>IFERROR(__xludf.DUMMYFUNCTION("""COMPUTED_VALUE"""),33.0)</f>
        <v>33</v>
      </c>
      <c r="I6" s="10">
        <f>IFERROR(__xludf.DUMMYFUNCTION("""COMPUTED_VALUE"""),40.864285714285714)</f>
        <v>40.86428571</v>
      </c>
    </row>
    <row r="7">
      <c r="A7" s="5" t="str">
        <f>IFERROR(__xludf.DUMMYFUNCTION("""COMPUTED_VALUE"""),"Davangere")</f>
        <v>Davangere</v>
      </c>
      <c r="B7" s="5" t="str">
        <f>IFERROR(__xludf.DUMMYFUNCTION("""COMPUTED_VALUE"""),"Karnataka")</f>
        <v>Karnataka</v>
      </c>
      <c r="C7" s="5" t="str">
        <f>IFERROR(__xludf.DUMMYFUNCTION("""COMPUTED_VALUE"""),"XYZ")</f>
        <v>XYZ</v>
      </c>
      <c r="D7" s="5" t="str">
        <f>IFERROR(__xludf.DUMMYFUNCTION("""COMPUTED_VALUE"""),"Anjali Nair")</f>
        <v>Anjali Nair</v>
      </c>
      <c r="E7" s="5">
        <f>IFERROR(__xludf.DUMMYFUNCTION("""COMPUTED_VALUE"""),52110.0)</f>
        <v>52110</v>
      </c>
      <c r="F7" s="5">
        <f>IFERROR(__xludf.DUMMYFUNCTION("""COMPUTED_VALUE"""),130000.0)</f>
        <v>130000</v>
      </c>
      <c r="G7" s="5" t="str">
        <f>IFERROR(__xludf.DUMMYFUNCTION("""COMPUTED_VALUE"""),"Female")</f>
        <v>Female</v>
      </c>
      <c r="H7" s="5">
        <f>IFERROR(__xludf.DUMMYFUNCTION("""COMPUTED_VALUE"""),34.0)</f>
        <v>34</v>
      </c>
      <c r="I7" s="10">
        <f>IFERROR(__xludf.DUMMYFUNCTION("""COMPUTED_VALUE"""),40.08461538461538)</f>
        <v>40.08461538</v>
      </c>
    </row>
    <row r="8">
      <c r="A8" s="5" t="str">
        <f>IFERROR(__xludf.DUMMYFUNCTION("""COMPUTED_VALUE"""),"Mangalore")</f>
        <v>Mangalore</v>
      </c>
      <c r="B8" s="5" t="str">
        <f>IFERROR(__xludf.DUMMYFUNCTION("""COMPUTED_VALUE"""),"Karnataka")</f>
        <v>Karnataka</v>
      </c>
      <c r="C8" s="5" t="str">
        <f>IFERROR(__xludf.DUMMYFUNCTION("""COMPUTED_VALUE"""),"XYZ")</f>
        <v>XYZ</v>
      </c>
      <c r="D8" s="5" t="str">
        <f>IFERROR(__xludf.DUMMYFUNCTION("""COMPUTED_VALUE"""),"Shalini Rao")</f>
        <v>Shalini Rao</v>
      </c>
      <c r="E8" s="5">
        <f>IFERROR(__xludf.DUMMYFUNCTION("""COMPUTED_VALUE"""),63100.0)</f>
        <v>63100</v>
      </c>
      <c r="F8" s="5">
        <f>IFERROR(__xludf.DUMMYFUNCTION("""COMPUTED_VALUE"""),160000.0)</f>
        <v>160000</v>
      </c>
      <c r="G8" s="5" t="str">
        <f>IFERROR(__xludf.DUMMYFUNCTION("""COMPUTED_VALUE"""),"Female")</f>
        <v>Female</v>
      </c>
      <c r="H8" s="5">
        <f>IFERROR(__xludf.DUMMYFUNCTION("""COMPUTED_VALUE"""),36.0)</f>
        <v>36</v>
      </c>
      <c r="I8" s="10">
        <f>IFERROR(__xludf.DUMMYFUNCTION("""COMPUTED_VALUE"""),39.4375)</f>
        <v>39.4375</v>
      </c>
    </row>
    <row r="9">
      <c r="A9" s="5" t="str">
        <f>IFERROR(__xludf.DUMMYFUNCTION("""COMPUTED_VALUE"""),"Shimoga")</f>
        <v>Shimoga</v>
      </c>
      <c r="B9" s="5" t="str">
        <f>IFERROR(__xludf.DUMMYFUNCTION("""COMPUTED_VALUE"""),"Karnataka")</f>
        <v>Karnataka</v>
      </c>
      <c r="C9" s="5" t="str">
        <f>IFERROR(__xludf.DUMMYFUNCTION("""COMPUTED_VALUE"""),"XYZ")</f>
        <v>XYZ</v>
      </c>
      <c r="D9" s="5" t="str">
        <f>IFERROR(__xludf.DUMMYFUNCTION("""COMPUTED_VALUE"""),"Divya Naik")</f>
        <v>Divya Naik</v>
      </c>
      <c r="E9" s="5">
        <f>IFERROR(__xludf.DUMMYFUNCTION("""COMPUTED_VALUE"""),51200.0)</f>
        <v>51200</v>
      </c>
      <c r="F9" s="5">
        <f>IFERROR(__xludf.DUMMYFUNCTION("""COMPUTED_VALUE"""),125000.0)</f>
        <v>125000</v>
      </c>
      <c r="G9" s="5" t="str">
        <f>IFERROR(__xludf.DUMMYFUNCTION("""COMPUTED_VALUE"""),"Female")</f>
        <v>Female</v>
      </c>
      <c r="H9" s="5">
        <f>IFERROR(__xludf.DUMMYFUNCTION("""COMPUTED_VALUE"""),34.0)</f>
        <v>34</v>
      </c>
      <c r="I9" s="10">
        <f>IFERROR(__xludf.DUMMYFUNCTION("""COMPUTED_VALUE"""),40.96)</f>
        <v>40.96</v>
      </c>
    </row>
    <row r="10">
      <c r="A10" s="5" t="str">
        <f>IFERROR(__xludf.DUMMYFUNCTION("""COMPUTED_VALUE"""),"Bellary")</f>
        <v>Bellary</v>
      </c>
      <c r="B10" s="5" t="str">
        <f>IFERROR(__xludf.DUMMYFUNCTION("""COMPUTED_VALUE"""),"Karnataka")</f>
        <v>Karnataka</v>
      </c>
      <c r="C10" s="5" t="str">
        <f>IFERROR(__xludf.DUMMYFUNCTION("""COMPUTED_VALUE"""),"XYZ")</f>
        <v>XYZ</v>
      </c>
      <c r="D10" s="5" t="str">
        <f>IFERROR(__xludf.DUMMYFUNCTION("""COMPUTED_VALUE"""),"Megha Sharma")</f>
        <v>Megha Sharma</v>
      </c>
      <c r="E10" s="5">
        <f>IFERROR(__xludf.DUMMYFUNCTION("""COMPUTED_VALUE"""),57321.0)</f>
        <v>57321</v>
      </c>
      <c r="F10" s="5">
        <f>IFERROR(__xludf.DUMMYFUNCTION("""COMPUTED_VALUE"""),145000.0)</f>
        <v>145000</v>
      </c>
      <c r="G10" s="5" t="str">
        <f>IFERROR(__xludf.DUMMYFUNCTION("""COMPUTED_VALUE"""),"Female")</f>
        <v>Female</v>
      </c>
      <c r="H10" s="5">
        <f>IFERROR(__xludf.DUMMYFUNCTION("""COMPUTED_VALUE"""),36.0)</f>
        <v>36</v>
      </c>
      <c r="I10" s="10">
        <f>IFERROR(__xludf.DUMMYFUNCTION("""COMPUTED_VALUE"""),39.531724137931036)</f>
        <v>39.53172414</v>
      </c>
    </row>
    <row r="11">
      <c r="A11" s="5" t="str">
        <f>IFERROR(__xludf.DUMMYFUNCTION("""COMPUTED_VALUE"""),"Bijapur")</f>
        <v>Bijapur</v>
      </c>
      <c r="B11" s="5" t="str">
        <f>IFERROR(__xludf.DUMMYFUNCTION("""COMPUTED_VALUE"""),"Karnataka")</f>
        <v>Karnataka</v>
      </c>
      <c r="C11" s="5" t="str">
        <f>IFERROR(__xludf.DUMMYFUNCTION("""COMPUTED_VALUE"""),"XYZ")</f>
        <v>XYZ</v>
      </c>
      <c r="D11" s="5" t="str">
        <f>IFERROR(__xludf.DUMMYFUNCTION("""COMPUTED_VALUE"""),"Neha Nair")</f>
        <v>Neha Nair</v>
      </c>
      <c r="E11" s="5">
        <f>IFERROR(__xludf.DUMMYFUNCTION("""COMPUTED_VALUE"""),48200.0)</f>
        <v>48200</v>
      </c>
      <c r="F11" s="5">
        <f>IFERROR(__xludf.DUMMYFUNCTION("""COMPUTED_VALUE"""),115000.0)</f>
        <v>115000</v>
      </c>
      <c r="G11" s="5" t="str">
        <f>IFERROR(__xludf.DUMMYFUNCTION("""COMPUTED_VALUE"""),"Female")</f>
        <v>Female</v>
      </c>
      <c r="H11" s="5">
        <f>IFERROR(__xludf.DUMMYFUNCTION("""COMPUTED_VALUE"""),33.0)</f>
        <v>33</v>
      </c>
      <c r="I11" s="10">
        <f>IFERROR(__xludf.DUMMYFUNCTION("""COMPUTED_VALUE"""),41.91304347826087)</f>
        <v>41.91304348</v>
      </c>
    </row>
    <row r="12">
      <c r="A12" s="5" t="str">
        <f>IFERROR(__xludf.DUMMYFUNCTION("""COMPUTED_VALUE"""),"Raichur")</f>
        <v>Raichur</v>
      </c>
      <c r="B12" s="5" t="str">
        <f>IFERROR(__xludf.DUMMYFUNCTION("""COMPUTED_VALUE"""),"Karnataka")</f>
        <v>Karnataka</v>
      </c>
      <c r="C12" s="5" t="str">
        <f>IFERROR(__xludf.DUMMYFUNCTION("""COMPUTED_VALUE"""),"XYZ")</f>
        <v>XYZ</v>
      </c>
      <c r="D12" s="5" t="str">
        <f>IFERROR(__xludf.DUMMYFUNCTION("""COMPUTED_VALUE"""),"Pooja Sharma")</f>
        <v>Pooja Sharma</v>
      </c>
      <c r="E12" s="5">
        <f>IFERROR(__xludf.DUMMYFUNCTION("""COMPUTED_VALUE"""),45210.0)</f>
        <v>45210</v>
      </c>
      <c r="F12" s="5">
        <f>IFERROR(__xludf.DUMMYFUNCTION("""COMPUTED_VALUE"""),105000.0)</f>
        <v>105000</v>
      </c>
      <c r="G12" s="5" t="str">
        <f>IFERROR(__xludf.DUMMYFUNCTION("""COMPUTED_VALUE"""),"Female")</f>
        <v>Female</v>
      </c>
      <c r="H12" s="5">
        <f>IFERROR(__xludf.DUMMYFUNCTION("""COMPUTED_VALUE"""),32.0)</f>
        <v>32</v>
      </c>
      <c r="I12" s="10">
        <f>IFERROR(__xludf.DUMMYFUNCTION("""COMPUTED_VALUE"""),43.05714285714286)</f>
        <v>43.05714286</v>
      </c>
    </row>
    <row r="13">
      <c r="A13" s="5" t="str">
        <f>IFERROR(__xludf.DUMMYFUNCTION("""COMPUTED_VALUE"""),"Gulbarga")</f>
        <v>Gulbarga</v>
      </c>
      <c r="B13" s="5" t="str">
        <f>IFERROR(__xludf.DUMMYFUNCTION("""COMPUTED_VALUE"""),"Karnataka")</f>
        <v>Karnataka</v>
      </c>
      <c r="C13" s="5" t="str">
        <f>IFERROR(__xludf.DUMMYFUNCTION("""COMPUTED_VALUE"""),"XYZ")</f>
        <v>XYZ</v>
      </c>
      <c r="D13" s="5" t="str">
        <f>IFERROR(__xludf.DUMMYFUNCTION("""COMPUTED_VALUE"""),"Divya Shetty")</f>
        <v>Divya Shetty</v>
      </c>
      <c r="E13" s="5">
        <f>IFERROR(__xludf.DUMMYFUNCTION("""COMPUTED_VALUE"""),54100.0)</f>
        <v>54100</v>
      </c>
      <c r="F13" s="5">
        <f>IFERROR(__xludf.DUMMYFUNCTION("""COMPUTED_VALUE"""),135000.0)</f>
        <v>135000</v>
      </c>
      <c r="G13" s="5" t="str">
        <f>IFERROR(__xludf.DUMMYFUNCTION("""COMPUTED_VALUE"""),"Female")</f>
        <v>Female</v>
      </c>
      <c r="H13" s="5">
        <f>IFERROR(__xludf.DUMMYFUNCTION("""COMPUTED_VALUE"""),35.0)</f>
        <v>35</v>
      </c>
      <c r="I13" s="10">
        <f>IFERROR(__xludf.DUMMYFUNCTION("""COMPUTED_VALUE"""),40.074074074074076)</f>
        <v>40.07407407</v>
      </c>
    </row>
    <row r="14">
      <c r="A14" s="5" t="str">
        <f>IFERROR(__xludf.DUMMYFUNCTION("""COMPUTED_VALUE"""),"Chitradurga")</f>
        <v>Chitradurga</v>
      </c>
      <c r="B14" s="5" t="str">
        <f>IFERROR(__xludf.DUMMYFUNCTION("""COMPUTED_VALUE"""),"Karnataka")</f>
        <v>Karnataka</v>
      </c>
      <c r="C14" s="5" t="str">
        <f>IFERROR(__xludf.DUMMYFUNCTION("""COMPUTED_VALUE"""),"XYZ")</f>
        <v>XYZ</v>
      </c>
      <c r="D14" s="5" t="str">
        <f>IFERROR(__xludf.DUMMYFUNCTION("""COMPUTED_VALUE"""),"Anjali Reddy")</f>
        <v>Anjali Reddy</v>
      </c>
      <c r="E14" s="5">
        <f>IFERROR(__xludf.DUMMYFUNCTION("""COMPUTED_VALUE"""),47200.0)</f>
        <v>47200</v>
      </c>
      <c r="F14" s="5">
        <f>IFERROR(__xludf.DUMMYFUNCTION("""COMPUTED_VALUE"""),120000.0)</f>
        <v>120000</v>
      </c>
      <c r="G14" s="5" t="str">
        <f>IFERROR(__xludf.DUMMYFUNCTION("""COMPUTED_VALUE"""),"Female")</f>
        <v>Female</v>
      </c>
      <c r="H14" s="5">
        <f>IFERROR(__xludf.DUMMYFUNCTION("""COMPUTED_VALUE"""),33.0)</f>
        <v>33</v>
      </c>
      <c r="I14" s="10">
        <f>IFERROR(__xludf.DUMMYFUNCTION("""COMPUTED_VALUE"""),39.33333333333333)</f>
        <v>39.33333333</v>
      </c>
    </row>
    <row r="15">
      <c r="A15" s="5" t="str">
        <f>IFERROR(__xludf.DUMMYFUNCTION("""COMPUTED_VALUE"""),"Udupi")</f>
        <v>Udupi</v>
      </c>
      <c r="B15" s="5" t="str">
        <f>IFERROR(__xludf.DUMMYFUNCTION("""COMPUTED_VALUE"""),"Karnataka")</f>
        <v>Karnataka</v>
      </c>
      <c r="C15" s="5" t="str">
        <f>IFERROR(__xludf.DUMMYFUNCTION("""COMPUTED_VALUE"""),"XYZ")</f>
        <v>XYZ</v>
      </c>
      <c r="D15" s="5" t="str">
        <f>IFERROR(__xludf.DUMMYFUNCTION("""COMPUTED_VALUE"""),"Shalini Nair")</f>
        <v>Shalini Nair</v>
      </c>
      <c r="E15" s="5">
        <f>IFERROR(__xludf.DUMMYFUNCTION("""COMPUTED_VALUE"""),55200.0)</f>
        <v>55200</v>
      </c>
      <c r="F15" s="5">
        <f>IFERROR(__xludf.DUMMYFUNCTION("""COMPUTED_VALUE"""),140000.0)</f>
        <v>140000</v>
      </c>
      <c r="G15" s="5" t="str">
        <f>IFERROR(__xludf.DUMMYFUNCTION("""COMPUTED_VALUE"""),"Female")</f>
        <v>Female</v>
      </c>
      <c r="H15" s="5">
        <f>IFERROR(__xludf.DUMMYFUNCTION("""COMPUTED_VALUE"""),36.0)</f>
        <v>36</v>
      </c>
      <c r="I15" s="10">
        <f>IFERROR(__xludf.DUMMYFUNCTION("""COMPUTED_VALUE"""),39.42857142857143)</f>
        <v>39.42857143</v>
      </c>
    </row>
    <row r="16">
      <c r="A16" s="5" t="str">
        <f>IFERROR(__xludf.DUMMYFUNCTION("""COMPUTED_VALUE"""),"Karwar")</f>
        <v>Karwar</v>
      </c>
      <c r="B16" s="5" t="str">
        <f>IFERROR(__xludf.DUMMYFUNCTION("""COMPUTED_VALUE"""),"Karnataka")</f>
        <v>Karnataka</v>
      </c>
      <c r="C16" s="5" t="str">
        <f>IFERROR(__xludf.DUMMYFUNCTION("""COMPUTED_VALUE"""),"XYZ")</f>
        <v>XYZ</v>
      </c>
      <c r="D16" s="5" t="str">
        <f>IFERROR(__xludf.DUMMYFUNCTION("""COMPUTED_VALUE"""),"Pooja Shetty")</f>
        <v>Pooja Shetty</v>
      </c>
      <c r="E16" s="5">
        <f>IFERROR(__xludf.DUMMYFUNCTION("""COMPUTED_VALUE"""),43200.0)</f>
        <v>43200</v>
      </c>
      <c r="F16" s="5">
        <f>IFERROR(__xludf.DUMMYFUNCTION("""COMPUTED_VALUE"""),100000.0)</f>
        <v>100000</v>
      </c>
      <c r="G16" s="5" t="str">
        <f>IFERROR(__xludf.DUMMYFUNCTION("""COMPUTED_VALUE"""),"Female")</f>
        <v>Female</v>
      </c>
      <c r="H16" s="5">
        <f>IFERROR(__xludf.DUMMYFUNCTION("""COMPUTED_VALUE"""),33.0)</f>
        <v>33</v>
      </c>
      <c r="I16" s="10">
        <f>IFERROR(__xludf.DUMMYFUNCTION("""COMPUTED_VALUE"""),43.2)</f>
        <v>43.2</v>
      </c>
    </row>
    <row r="17">
      <c r="A17" s="5" t="str">
        <f>IFERROR(__xludf.DUMMYFUNCTION("""COMPUTED_VALUE"""),"Hassan")</f>
        <v>Hassan</v>
      </c>
      <c r="B17" s="5" t="str">
        <f>IFERROR(__xludf.DUMMYFUNCTION("""COMPUTED_VALUE"""),"Karnataka")</f>
        <v>Karnataka</v>
      </c>
      <c r="C17" s="5" t="str">
        <f>IFERROR(__xludf.DUMMYFUNCTION("""COMPUTED_VALUE"""),"XYZ")</f>
        <v>XYZ</v>
      </c>
      <c r="D17" s="5" t="str">
        <f>IFERROR(__xludf.DUMMYFUNCTION("""COMPUTED_VALUE"""),"Ananya Shetty")</f>
        <v>Ananya Shetty</v>
      </c>
      <c r="E17" s="5">
        <f>IFERROR(__xludf.DUMMYFUNCTION("""COMPUTED_VALUE"""),55230.0)</f>
        <v>55230</v>
      </c>
      <c r="F17" s="5">
        <f>IFERROR(__xludf.DUMMYFUNCTION("""COMPUTED_VALUE"""),140000.0)</f>
        <v>140000</v>
      </c>
      <c r="G17" s="5" t="str">
        <f>IFERROR(__xludf.DUMMYFUNCTION("""COMPUTED_VALUE"""),"Female")</f>
        <v>Female</v>
      </c>
      <c r="H17" s="5">
        <f>IFERROR(__xludf.DUMMYFUNCTION("""COMPUTED_VALUE"""),34.0)</f>
        <v>34</v>
      </c>
      <c r="I17" s="10">
        <f>IFERROR(__xludf.DUMMYFUNCTION("""COMPUTED_VALUE"""),39.45)</f>
        <v>39.45</v>
      </c>
    </row>
    <row r="18">
      <c r="A18" s="5" t="str">
        <f>IFERROR(__xludf.DUMMYFUNCTION("""COMPUTED_VALUE"""),"Mandya")</f>
        <v>Mandya</v>
      </c>
      <c r="B18" s="5" t="str">
        <f>IFERROR(__xludf.DUMMYFUNCTION("""COMPUTED_VALUE"""),"Karnataka")</f>
        <v>Karnataka</v>
      </c>
      <c r="C18" s="5" t="str">
        <f>IFERROR(__xludf.DUMMYFUNCTION("""COMPUTED_VALUE"""),"XYZ")</f>
        <v>XYZ</v>
      </c>
      <c r="D18" s="5" t="str">
        <f>IFERROR(__xludf.DUMMYFUNCTION("""COMPUTED_VALUE"""),"Kavya Nair")</f>
        <v>Kavya Nair</v>
      </c>
      <c r="E18" s="5">
        <f>IFERROR(__xludf.DUMMYFUNCTION("""COMPUTED_VALUE"""),66210.0)</f>
        <v>66210</v>
      </c>
      <c r="F18" s="5">
        <f>IFERROR(__xludf.DUMMYFUNCTION("""COMPUTED_VALUE"""),155000.0)</f>
        <v>155000</v>
      </c>
      <c r="G18" s="5" t="str">
        <f>IFERROR(__xludf.DUMMYFUNCTION("""COMPUTED_VALUE"""),"Female")</f>
        <v>Female</v>
      </c>
      <c r="H18" s="5">
        <f>IFERROR(__xludf.DUMMYFUNCTION("""COMPUTED_VALUE"""),36.0)</f>
        <v>36</v>
      </c>
      <c r="I18" s="10">
        <f>IFERROR(__xludf.DUMMYFUNCTION("""COMPUTED_VALUE"""),42.71612903225807)</f>
        <v>42.71612903</v>
      </c>
    </row>
    <row r="19">
      <c r="A19" s="5" t="str">
        <f>IFERROR(__xludf.DUMMYFUNCTION("""COMPUTED_VALUE"""),"Kolar")</f>
        <v>Kolar</v>
      </c>
      <c r="B19" s="5" t="str">
        <f>IFERROR(__xludf.DUMMYFUNCTION("""COMPUTED_VALUE"""),"Karnataka")</f>
        <v>Karnataka</v>
      </c>
      <c r="C19" s="5" t="str">
        <f>IFERROR(__xludf.DUMMYFUNCTION("""COMPUTED_VALUE"""),"XYZ")</f>
        <v>XYZ</v>
      </c>
      <c r="D19" s="5" t="str">
        <f>IFERROR(__xludf.DUMMYFUNCTION("""COMPUTED_VALUE"""),"Megha Reddy")</f>
        <v>Megha Reddy</v>
      </c>
      <c r="E19" s="5">
        <f>IFERROR(__xludf.DUMMYFUNCTION("""COMPUTED_VALUE"""),49210.0)</f>
        <v>49210</v>
      </c>
      <c r="F19" s="5">
        <f>IFERROR(__xludf.DUMMYFUNCTION("""COMPUTED_VALUE"""),120000.0)</f>
        <v>120000</v>
      </c>
      <c r="G19" s="5" t="str">
        <f>IFERROR(__xludf.DUMMYFUNCTION("""COMPUTED_VALUE"""),"Female")</f>
        <v>Female</v>
      </c>
      <c r="H19" s="5">
        <f>IFERROR(__xludf.DUMMYFUNCTION("""COMPUTED_VALUE"""),34.0)</f>
        <v>34</v>
      </c>
      <c r="I19" s="10">
        <f>IFERROR(__xludf.DUMMYFUNCTION("""COMPUTED_VALUE"""),41.00833333333333)</f>
        <v>41.00833333</v>
      </c>
    </row>
    <row r="20">
      <c r="A20" s="5" t="str">
        <f>IFERROR(__xludf.DUMMYFUNCTION("""COMPUTED_VALUE"""),"Chikmagalur")</f>
        <v>Chikmagalur</v>
      </c>
      <c r="B20" s="5" t="str">
        <f>IFERROR(__xludf.DUMMYFUNCTION("""COMPUTED_VALUE"""),"Karnataka")</f>
        <v>Karnataka</v>
      </c>
      <c r="C20" s="5" t="str">
        <f>IFERROR(__xludf.DUMMYFUNCTION("""COMPUTED_VALUE"""),"XYZ")</f>
        <v>XYZ</v>
      </c>
      <c r="D20" s="5" t="str">
        <f>IFERROR(__xludf.DUMMYFUNCTION("""COMPUTED_VALUE"""),"Anita Nair")</f>
        <v>Anita Nair</v>
      </c>
      <c r="E20" s="5">
        <f>IFERROR(__xludf.DUMMYFUNCTION("""COMPUTED_VALUE"""),57210.0)</f>
        <v>57210</v>
      </c>
      <c r="F20" s="5">
        <f>IFERROR(__xludf.DUMMYFUNCTION("""COMPUTED_VALUE"""),145000.0)</f>
        <v>145000</v>
      </c>
      <c r="G20" s="5" t="str">
        <f>IFERROR(__xludf.DUMMYFUNCTION("""COMPUTED_VALUE"""),"Female")</f>
        <v>Female</v>
      </c>
      <c r="H20" s="5">
        <f>IFERROR(__xludf.DUMMYFUNCTION("""COMPUTED_VALUE"""),35.0)</f>
        <v>35</v>
      </c>
      <c r="I20" s="10">
        <f>IFERROR(__xludf.DUMMYFUNCTION("""COMPUTED_VALUE"""),39.45517241379311)</f>
        <v>39.45517241</v>
      </c>
    </row>
    <row r="21">
      <c r="A21" s="5" t="str">
        <f>IFERROR(__xludf.DUMMYFUNCTION("""COMPUTED_VALUE"""),"Bagalkot")</f>
        <v>Bagalkot</v>
      </c>
      <c r="B21" s="5" t="str">
        <f>IFERROR(__xludf.DUMMYFUNCTION("""COMPUTED_VALUE"""),"Karnataka")</f>
        <v>Karnataka</v>
      </c>
      <c r="C21" s="5" t="str">
        <f>IFERROR(__xludf.DUMMYFUNCTION("""COMPUTED_VALUE"""),"XYZ")</f>
        <v>XYZ</v>
      </c>
      <c r="D21" s="5" t="str">
        <f>IFERROR(__xludf.DUMMYFUNCTION("""COMPUTED_VALUE"""),"Kavitha Rao")</f>
        <v>Kavitha Rao</v>
      </c>
      <c r="E21" s="5">
        <f>IFERROR(__xludf.DUMMYFUNCTION("""COMPUTED_VALUE"""),47200.0)</f>
        <v>47200</v>
      </c>
      <c r="F21" s="5">
        <f>IFERROR(__xludf.DUMMYFUNCTION("""COMPUTED_VALUE"""),115000.0)</f>
        <v>115000</v>
      </c>
      <c r="G21" s="5" t="str">
        <f>IFERROR(__xludf.DUMMYFUNCTION("""COMPUTED_VALUE"""),"Female")</f>
        <v>Female</v>
      </c>
      <c r="H21" s="5">
        <f>IFERROR(__xludf.DUMMYFUNCTION("""COMPUTED_VALUE"""),33.0)</f>
        <v>33</v>
      </c>
      <c r="I21" s="10">
        <f>IFERROR(__xludf.DUMMYFUNCTION("""COMPUTED_VALUE"""),41.04347826086956)</f>
        <v>41.04347826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